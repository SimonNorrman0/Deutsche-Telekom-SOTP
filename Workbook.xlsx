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Deutsche Telekom\Excel Model\"/>
    </mc:Choice>
  </mc:AlternateContent>
  <xr:revisionPtr revIDLastSave="0" documentId="13_ncr:1_{ED9FCB93-E443-40AD-8631-E8AB4F086484}" xr6:coauthVersionLast="47" xr6:coauthVersionMax="47" xr10:uidLastSave="{00000000-0000-0000-0000-000000000000}"/>
  <bookViews>
    <workbookView xWindow="14400" yWindow="5565" windowWidth="14400" windowHeight="10035" xr2:uid="{6F383097-185F-4A41-BADB-7D0CC068E7E7}"/>
  </bookViews>
  <sheets>
    <sheet name="01_Cover" sheetId="1" r:id="rId1"/>
    <sheet name="03_Historical Financials" sheetId="3" r:id="rId2"/>
    <sheet name="04_Segment Financials" sheetId="4" r:id="rId3"/>
    <sheet name="WACC Germany" sheetId="15" r:id="rId4"/>
    <sheet name="05_Germany DCF" sheetId="5" r:id="rId5"/>
    <sheet name="WACC Europe" sheetId="16" r:id="rId6"/>
    <sheet name="06_Europe DCF" sheetId="6" r:id="rId7"/>
    <sheet name="WACC TSystems" sheetId="17" r:id="rId8"/>
    <sheet name="07_TSystems DCF" sheetId="7" r:id="rId9"/>
    <sheet name="08_TMUS Stake" sheetId="8" r:id="rId10"/>
    <sheet name="09_Trading Comps" sheetId="9" r:id="rId11"/>
    <sheet name="10_Precedent Transactions" sheetId="10" r:id="rId12"/>
    <sheet name="11_SOTP" sheetId="11" r:id="rId13"/>
    <sheet name="12_Football Fields" sheetId="13" r:id="rId14"/>
    <sheet name="13_Sensitivity" sheetId="12" r:id="rId15"/>
  </sheets>
  <definedNames>
    <definedName name="tgr">'05_Germany DCF'!$D$8</definedName>
    <definedName name="wacc">'05_Germany DCF'!$D$7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2" i="7" l="1"/>
  <c r="L22" i="7"/>
  <c r="M22" i="7" s="1"/>
  <c r="K23" i="7"/>
  <c r="K25" i="7"/>
  <c r="K26" i="7" s="1"/>
  <c r="K28" i="7"/>
  <c r="K29" i="7" s="1"/>
  <c r="J22" i="7"/>
  <c r="J23" i="7"/>
  <c r="J25" i="7"/>
  <c r="J26" i="7" s="1"/>
  <c r="I8" i="13"/>
  <c r="I6" i="13"/>
  <c r="H8" i="13"/>
  <c r="H6" i="13"/>
  <c r="D8" i="13"/>
  <c r="C8" i="13"/>
  <c r="F40" i="10"/>
  <c r="F39" i="10"/>
  <c r="C52" i="10"/>
  <c r="C49" i="10"/>
  <c r="B53" i="10"/>
  <c r="B52" i="10"/>
  <c r="B51" i="10"/>
  <c r="B50" i="10"/>
  <c r="C51" i="10"/>
  <c r="E6" i="13"/>
  <c r="D6" i="13"/>
  <c r="C6" i="13"/>
  <c r="F32" i="9"/>
  <c r="F31" i="9"/>
  <c r="F30" i="9"/>
  <c r="C48" i="9"/>
  <c r="C40" i="9"/>
  <c r="C42" i="9" s="1"/>
  <c r="C50" i="9"/>
  <c r="C49" i="9"/>
  <c r="C41" i="9"/>
  <c r="C47" i="9"/>
  <c r="C39" i="9"/>
  <c r="C46" i="9"/>
  <c r="C38" i="9"/>
  <c r="B50" i="9"/>
  <c r="B49" i="9"/>
  <c r="B48" i="9"/>
  <c r="B47" i="9"/>
  <c r="B42" i="9"/>
  <c r="B41" i="9"/>
  <c r="B40" i="9"/>
  <c r="B39" i="9"/>
  <c r="B12" i="11"/>
  <c r="E15" i="9"/>
  <c r="C31" i="9"/>
  <c r="D15" i="9"/>
  <c r="C15" i="9"/>
  <c r="J8" i="4"/>
  <c r="J6" i="4"/>
  <c r="J7" i="4"/>
  <c r="C33" i="9"/>
  <c r="B34" i="9"/>
  <c r="B33" i="9"/>
  <c r="B32" i="9"/>
  <c r="B31" i="9"/>
  <c r="C42" i="10"/>
  <c r="C41" i="10"/>
  <c r="C43" i="10" s="1"/>
  <c r="C39" i="10"/>
  <c r="C36" i="10"/>
  <c r="C35" i="10"/>
  <c r="C34" i="10"/>
  <c r="D30" i="10"/>
  <c r="E30" i="10"/>
  <c r="C30" i="10"/>
  <c r="D29" i="10"/>
  <c r="E29" i="10"/>
  <c r="C29" i="10"/>
  <c r="D28" i="10"/>
  <c r="E28" i="10"/>
  <c r="C28" i="10"/>
  <c r="D27" i="10"/>
  <c r="E27" i="10"/>
  <c r="C27" i="10"/>
  <c r="E21" i="10"/>
  <c r="E22" i="10"/>
  <c r="E23" i="10"/>
  <c r="E24" i="10"/>
  <c r="E20" i="10"/>
  <c r="D21" i="10"/>
  <c r="D22" i="10"/>
  <c r="D23" i="10"/>
  <c r="D24" i="10"/>
  <c r="D20" i="10"/>
  <c r="C21" i="10"/>
  <c r="C22" i="10"/>
  <c r="C23" i="10"/>
  <c r="C24" i="10"/>
  <c r="C20" i="10"/>
  <c r="C5" i="10"/>
  <c r="C9" i="10"/>
  <c r="C7" i="10"/>
  <c r="C6" i="10"/>
  <c r="B43" i="10"/>
  <c r="B42" i="10"/>
  <c r="B41" i="10"/>
  <c r="B40" i="10"/>
  <c r="E6" i="9"/>
  <c r="F11" i="9"/>
  <c r="G11" i="9"/>
  <c r="F10" i="9"/>
  <c r="I10" i="9" s="1"/>
  <c r="H19" i="9" s="1"/>
  <c r="F9" i="9"/>
  <c r="I9" i="9" s="1"/>
  <c r="F18" i="9" s="1"/>
  <c r="F8" i="9"/>
  <c r="I8" i="9" s="1"/>
  <c r="F17" i="9" s="1"/>
  <c r="F7" i="9"/>
  <c r="I7" i="9" s="1"/>
  <c r="G16" i="9" s="1"/>
  <c r="E8" i="8"/>
  <c r="E10" i="8" s="1"/>
  <c r="E12" i="8" s="1"/>
  <c r="E14" i="8" s="1"/>
  <c r="G38" i="7"/>
  <c r="G39" i="7" s="1"/>
  <c r="H38" i="7"/>
  <c r="I38" i="7"/>
  <c r="F38" i="7"/>
  <c r="F35" i="7"/>
  <c r="G35" i="7"/>
  <c r="H35" i="7"/>
  <c r="I35" i="7"/>
  <c r="E35" i="7"/>
  <c r="F32" i="7"/>
  <c r="G32" i="7"/>
  <c r="H32" i="7"/>
  <c r="I32" i="7"/>
  <c r="E32" i="7"/>
  <c r="F25" i="7"/>
  <c r="F28" i="7" s="1"/>
  <c r="G25" i="7"/>
  <c r="G28" i="7" s="1"/>
  <c r="H25" i="7"/>
  <c r="H28" i="7" s="1"/>
  <c r="I25" i="7"/>
  <c r="I28" i="7" s="1"/>
  <c r="E25" i="7"/>
  <c r="E28" i="7" s="1"/>
  <c r="F22" i="7"/>
  <c r="G22" i="7"/>
  <c r="H22" i="7"/>
  <c r="I22" i="7"/>
  <c r="E22" i="7"/>
  <c r="D7" i="7"/>
  <c r="D20" i="17"/>
  <c r="D15" i="17"/>
  <c r="D14" i="17"/>
  <c r="D9" i="17"/>
  <c r="D22" i="17" s="1"/>
  <c r="G49" i="4"/>
  <c r="F49" i="4"/>
  <c r="E49" i="4"/>
  <c r="D49" i="4"/>
  <c r="C49" i="4"/>
  <c r="D47" i="4"/>
  <c r="E47" i="4"/>
  <c r="F47" i="4"/>
  <c r="G47" i="4"/>
  <c r="C47" i="4"/>
  <c r="D45" i="4"/>
  <c r="E45" i="4"/>
  <c r="F45" i="4"/>
  <c r="G45" i="4"/>
  <c r="C45" i="4"/>
  <c r="D44" i="4"/>
  <c r="E44" i="4"/>
  <c r="F44" i="4"/>
  <c r="G44" i="4"/>
  <c r="C44" i="4"/>
  <c r="D43" i="4"/>
  <c r="E43" i="4"/>
  <c r="F43" i="4"/>
  <c r="G43" i="4"/>
  <c r="C43" i="4"/>
  <c r="E41" i="4"/>
  <c r="F41" i="4"/>
  <c r="G41" i="4"/>
  <c r="D41" i="4"/>
  <c r="D38" i="4"/>
  <c r="E38" i="4"/>
  <c r="F38" i="4"/>
  <c r="G38" i="4"/>
  <c r="C38" i="4"/>
  <c r="D36" i="4"/>
  <c r="E36" i="4"/>
  <c r="F36" i="4"/>
  <c r="G36" i="4"/>
  <c r="C36" i="4"/>
  <c r="D34" i="4"/>
  <c r="E34" i="4"/>
  <c r="F34" i="4"/>
  <c r="G34" i="4"/>
  <c r="C34" i="4"/>
  <c r="D33" i="4"/>
  <c r="E33" i="4"/>
  <c r="F33" i="4"/>
  <c r="G33" i="4"/>
  <c r="C33" i="4"/>
  <c r="D32" i="4"/>
  <c r="E32" i="4"/>
  <c r="F32" i="4"/>
  <c r="G32" i="4"/>
  <c r="C32" i="4"/>
  <c r="E30" i="4"/>
  <c r="F30" i="4"/>
  <c r="G30" i="4"/>
  <c r="D30" i="4"/>
  <c r="D27" i="4"/>
  <c r="E27" i="4"/>
  <c r="F27" i="4"/>
  <c r="G27" i="4"/>
  <c r="C27" i="4"/>
  <c r="D25" i="4"/>
  <c r="E25" i="4"/>
  <c r="F25" i="4"/>
  <c r="G25" i="4"/>
  <c r="C25" i="4"/>
  <c r="D23" i="4"/>
  <c r="E23" i="4"/>
  <c r="F23" i="4"/>
  <c r="G23" i="4"/>
  <c r="C23" i="4"/>
  <c r="D22" i="4"/>
  <c r="E22" i="4"/>
  <c r="F22" i="4"/>
  <c r="G22" i="4"/>
  <c r="C22" i="4"/>
  <c r="D21" i="4"/>
  <c r="E21" i="4"/>
  <c r="F21" i="4"/>
  <c r="G21" i="4"/>
  <c r="C21" i="4"/>
  <c r="E19" i="4"/>
  <c r="F19" i="4"/>
  <c r="G19" i="4"/>
  <c r="D19" i="4"/>
  <c r="D16" i="4"/>
  <c r="E16" i="4"/>
  <c r="F16" i="4"/>
  <c r="G16" i="4"/>
  <c r="C16" i="4"/>
  <c r="D14" i="4"/>
  <c r="E14" i="4"/>
  <c r="F14" i="4"/>
  <c r="G14" i="4"/>
  <c r="C14" i="4"/>
  <c r="D12" i="4"/>
  <c r="E12" i="4"/>
  <c r="F12" i="4"/>
  <c r="G12" i="4"/>
  <c r="C12" i="4"/>
  <c r="D10" i="4"/>
  <c r="E10" i="4"/>
  <c r="F10" i="4"/>
  <c r="G10" i="4"/>
  <c r="C10" i="4"/>
  <c r="E8" i="4"/>
  <c r="F8" i="4"/>
  <c r="G8" i="4"/>
  <c r="D8" i="4"/>
  <c r="D11" i="4"/>
  <c r="E11" i="4"/>
  <c r="F11" i="4"/>
  <c r="G11" i="4"/>
  <c r="C11" i="4"/>
  <c r="N22" i="7" l="1"/>
  <c r="M23" i="7"/>
  <c r="M25" i="7"/>
  <c r="L25" i="7"/>
  <c r="L23" i="7"/>
  <c r="J28" i="7"/>
  <c r="J29" i="7" s="1"/>
  <c r="C53" i="10"/>
  <c r="H16" i="9"/>
  <c r="F10" i="11"/>
  <c r="G19" i="9"/>
  <c r="F19" i="9"/>
  <c r="H18" i="9"/>
  <c r="G18" i="9"/>
  <c r="H17" i="9"/>
  <c r="G17" i="9"/>
  <c r="F16" i="9"/>
  <c r="I11" i="9"/>
  <c r="M26" i="7" l="1"/>
  <c r="M28" i="7"/>
  <c r="M29" i="7" s="1"/>
  <c r="L26" i="7"/>
  <c r="L28" i="7"/>
  <c r="L29" i="7" s="1"/>
  <c r="N23" i="7"/>
  <c r="N25" i="7"/>
  <c r="F22" i="9"/>
  <c r="C25" i="9" s="1"/>
  <c r="F20" i="9"/>
  <c r="F21" i="9" s="1"/>
  <c r="G20" i="9"/>
  <c r="H20" i="9"/>
  <c r="H21" i="9" s="1"/>
  <c r="I42" i="7"/>
  <c r="E42" i="7"/>
  <c r="D20" i="16"/>
  <c r="D14" i="16" s="1"/>
  <c r="D15" i="16"/>
  <c r="E59" i="7"/>
  <c r="H42" i="7"/>
  <c r="G42" i="7"/>
  <c r="F41" i="7"/>
  <c r="G41" i="7" s="1"/>
  <c r="H41" i="7" s="1"/>
  <c r="I41" i="7" s="1"/>
  <c r="J41" i="7" s="1"/>
  <c r="K41" i="7" s="1"/>
  <c r="L41" i="7" s="1"/>
  <c r="M41" i="7" s="1"/>
  <c r="N41" i="7" s="1"/>
  <c r="L40" i="7"/>
  <c r="M40" i="7" s="1"/>
  <c r="N40" i="7" s="1"/>
  <c r="K40" i="7"/>
  <c r="H36" i="7"/>
  <c r="H56" i="7"/>
  <c r="F36" i="7"/>
  <c r="E56" i="7"/>
  <c r="I53" i="7"/>
  <c r="H53" i="7"/>
  <c r="G53" i="7"/>
  <c r="F53" i="7"/>
  <c r="F31" i="7"/>
  <c r="G31" i="7" s="1"/>
  <c r="H31" i="7" s="1"/>
  <c r="I31" i="7" s="1"/>
  <c r="J31" i="7" s="1"/>
  <c r="K31" i="7" s="1"/>
  <c r="L31" i="7" s="1"/>
  <c r="M31" i="7" s="1"/>
  <c r="N31" i="7" s="1"/>
  <c r="I45" i="7"/>
  <c r="G45" i="7"/>
  <c r="F26" i="7"/>
  <c r="H23" i="7"/>
  <c r="G23" i="7"/>
  <c r="F42" i="7"/>
  <c r="F21" i="7"/>
  <c r="G21" i="7" s="1"/>
  <c r="H21" i="7" s="1"/>
  <c r="I21" i="7" s="1"/>
  <c r="J21" i="7" s="1"/>
  <c r="K21" i="7" s="1"/>
  <c r="L21" i="7" s="1"/>
  <c r="M21" i="7" s="1"/>
  <c r="N21" i="7" s="1"/>
  <c r="K20" i="7"/>
  <c r="L20" i="7" s="1"/>
  <c r="M20" i="7" s="1"/>
  <c r="N20" i="7" s="1"/>
  <c r="F35" i="6"/>
  <c r="F56" i="6" s="1"/>
  <c r="G35" i="6"/>
  <c r="G56" i="6" s="1"/>
  <c r="H35" i="6"/>
  <c r="H56" i="6" s="1"/>
  <c r="I35" i="6"/>
  <c r="I56" i="6" s="1"/>
  <c r="E35" i="6"/>
  <c r="E56" i="6" s="1"/>
  <c r="F32" i="6"/>
  <c r="G32" i="6"/>
  <c r="G53" i="6" s="1"/>
  <c r="H32" i="6"/>
  <c r="H33" i="6" s="1"/>
  <c r="I32" i="6"/>
  <c r="E32" i="6"/>
  <c r="E53" i="6" s="1"/>
  <c r="F25" i="6"/>
  <c r="G25" i="6"/>
  <c r="G45" i="6" s="1"/>
  <c r="H25" i="6"/>
  <c r="H28" i="6" s="1"/>
  <c r="I25" i="6"/>
  <c r="I28" i="6" s="1"/>
  <c r="E25" i="6"/>
  <c r="E28" i="6" s="1"/>
  <c r="E29" i="6" s="1"/>
  <c r="F22" i="6"/>
  <c r="G22" i="6"/>
  <c r="H22" i="6"/>
  <c r="H42" i="6" s="1"/>
  <c r="I22" i="6"/>
  <c r="I42" i="6" s="1"/>
  <c r="E22" i="6"/>
  <c r="E42" i="6" s="1"/>
  <c r="E59" i="6"/>
  <c r="F41" i="6"/>
  <c r="G41" i="6" s="1"/>
  <c r="H41" i="6" s="1"/>
  <c r="I41" i="6" s="1"/>
  <c r="J41" i="6" s="1"/>
  <c r="K41" i="6" s="1"/>
  <c r="L41" i="6" s="1"/>
  <c r="M41" i="6" s="1"/>
  <c r="N41" i="6" s="1"/>
  <c r="K40" i="6"/>
  <c r="L40" i="6" s="1"/>
  <c r="M40" i="6" s="1"/>
  <c r="N40" i="6" s="1"/>
  <c r="I53" i="6"/>
  <c r="F31" i="6"/>
  <c r="G31" i="6" s="1"/>
  <c r="H31" i="6" s="1"/>
  <c r="I31" i="6" s="1"/>
  <c r="J31" i="6" s="1"/>
  <c r="K31" i="6" s="1"/>
  <c r="L31" i="6" s="1"/>
  <c r="M31" i="6" s="1"/>
  <c r="N31" i="6" s="1"/>
  <c r="G42" i="6"/>
  <c r="F21" i="6"/>
  <c r="G21" i="6" s="1"/>
  <c r="H21" i="6" s="1"/>
  <c r="I21" i="6" s="1"/>
  <c r="J21" i="6" s="1"/>
  <c r="K21" i="6" s="1"/>
  <c r="L21" i="6" s="1"/>
  <c r="M21" i="6" s="1"/>
  <c r="N21" i="6" s="1"/>
  <c r="K20" i="6"/>
  <c r="L20" i="6" s="1"/>
  <c r="M20" i="6" s="1"/>
  <c r="N20" i="6" s="1"/>
  <c r="G59" i="4"/>
  <c r="D57" i="4"/>
  <c r="F38" i="6" s="1"/>
  <c r="F59" i="6" s="1"/>
  <c r="D60" i="4"/>
  <c r="D61" i="4" s="1"/>
  <c r="E60" i="4"/>
  <c r="E61" i="4" s="1"/>
  <c r="F60" i="4"/>
  <c r="F61" i="4" s="1"/>
  <c r="G60" i="4"/>
  <c r="G61" i="4" s="1"/>
  <c r="C60" i="4"/>
  <c r="D58" i="4"/>
  <c r="E59" i="4" s="1"/>
  <c r="E58" i="4"/>
  <c r="F58" i="4"/>
  <c r="G58" i="4"/>
  <c r="C58" i="4"/>
  <c r="D56" i="4"/>
  <c r="E56" i="4"/>
  <c r="E57" i="4" s="1"/>
  <c r="F56" i="4"/>
  <c r="G56" i="4"/>
  <c r="G57" i="4" s="1"/>
  <c r="C56" i="4"/>
  <c r="D54" i="4"/>
  <c r="E54" i="4"/>
  <c r="E55" i="4" s="1"/>
  <c r="G38" i="5" s="1"/>
  <c r="F54" i="4"/>
  <c r="F55" i="4" s="1"/>
  <c r="H38" i="5" s="1"/>
  <c r="G54" i="4"/>
  <c r="C54" i="4"/>
  <c r="D55" i="4" s="1"/>
  <c r="F38" i="5" s="1"/>
  <c r="D53" i="4"/>
  <c r="E53" i="4"/>
  <c r="F53" i="4"/>
  <c r="G53" i="4"/>
  <c r="C53" i="4"/>
  <c r="F35" i="5"/>
  <c r="G35" i="5"/>
  <c r="H35" i="5"/>
  <c r="I35" i="5"/>
  <c r="E35" i="5"/>
  <c r="F32" i="5"/>
  <c r="G32" i="5"/>
  <c r="H32" i="5"/>
  <c r="I32" i="5"/>
  <c r="E32" i="5"/>
  <c r="N26" i="7" l="1"/>
  <c r="N28" i="7"/>
  <c r="N29" i="7" s="1"/>
  <c r="G22" i="9"/>
  <c r="C26" i="9" s="1"/>
  <c r="C30" i="9" s="1"/>
  <c r="C32" i="9" s="1"/>
  <c r="C34" i="9" s="1"/>
  <c r="H22" i="9"/>
  <c r="C27" i="9" s="1"/>
  <c r="G21" i="9"/>
  <c r="H36" i="6"/>
  <c r="I33" i="6"/>
  <c r="G23" i="6"/>
  <c r="E26" i="6"/>
  <c r="H54" i="7"/>
  <c r="G36" i="7"/>
  <c r="H57" i="7"/>
  <c r="I26" i="7"/>
  <c r="F59" i="4"/>
  <c r="D59" i="4"/>
  <c r="E26" i="7"/>
  <c r="E33" i="7"/>
  <c r="I36" i="7"/>
  <c r="F43" i="7"/>
  <c r="I23" i="7"/>
  <c r="E45" i="6"/>
  <c r="E46" i="6" s="1"/>
  <c r="I38" i="6"/>
  <c r="G38" i="6"/>
  <c r="G39" i="6" s="1"/>
  <c r="E36" i="7"/>
  <c r="J22" i="6"/>
  <c r="K22" i="6" s="1"/>
  <c r="K38" i="6" s="1"/>
  <c r="F57" i="4"/>
  <c r="E53" i="7"/>
  <c r="E54" i="7" s="1"/>
  <c r="F26" i="6"/>
  <c r="H33" i="7"/>
  <c r="G56" i="7"/>
  <c r="G57" i="7" s="1"/>
  <c r="I33" i="7"/>
  <c r="I56" i="7"/>
  <c r="I57" i="7" s="1"/>
  <c r="G55" i="4"/>
  <c r="I38" i="5" s="1"/>
  <c r="I59" i="5" s="1"/>
  <c r="G54" i="7"/>
  <c r="I54" i="7"/>
  <c r="F23" i="7"/>
  <c r="G46" i="7"/>
  <c r="I46" i="7"/>
  <c r="E57" i="7"/>
  <c r="G43" i="7"/>
  <c r="H43" i="7"/>
  <c r="J35" i="7"/>
  <c r="J56" i="7" s="1"/>
  <c r="D9" i="16"/>
  <c r="D22" i="16" s="1"/>
  <c r="D7" i="6" s="1"/>
  <c r="E48" i="7"/>
  <c r="E29" i="7"/>
  <c r="H29" i="7"/>
  <c r="H48" i="7"/>
  <c r="K38" i="7"/>
  <c r="K43" i="7"/>
  <c r="K32" i="7"/>
  <c r="K35" i="7"/>
  <c r="F54" i="7"/>
  <c r="G26" i="7"/>
  <c r="F33" i="7"/>
  <c r="H26" i="7"/>
  <c r="G33" i="7"/>
  <c r="I43" i="7"/>
  <c r="F56" i="7"/>
  <c r="F57" i="7" s="1"/>
  <c r="J32" i="7"/>
  <c r="J43" i="7"/>
  <c r="J42" i="7" s="1"/>
  <c r="E45" i="7"/>
  <c r="E46" i="7" s="1"/>
  <c r="F45" i="7"/>
  <c r="F46" i="7" s="1"/>
  <c r="J38" i="7"/>
  <c r="H45" i="7"/>
  <c r="H46" i="7" s="1"/>
  <c r="F36" i="6"/>
  <c r="H23" i="6"/>
  <c r="I23" i="6"/>
  <c r="G26" i="6"/>
  <c r="F33" i="6"/>
  <c r="G28" i="6"/>
  <c r="G29" i="6" s="1"/>
  <c r="F53" i="6"/>
  <c r="F45" i="6"/>
  <c r="F28" i="6"/>
  <c r="E48" i="6"/>
  <c r="I36" i="6"/>
  <c r="G54" i="6"/>
  <c r="E33" i="6"/>
  <c r="F23" i="6"/>
  <c r="I54" i="6"/>
  <c r="I57" i="6"/>
  <c r="H57" i="6"/>
  <c r="I43" i="6"/>
  <c r="E57" i="6"/>
  <c r="H29" i="6"/>
  <c r="H48" i="6"/>
  <c r="I48" i="6"/>
  <c r="I29" i="6"/>
  <c r="G46" i="6"/>
  <c r="E54" i="6"/>
  <c r="G57" i="6"/>
  <c r="H43" i="6"/>
  <c r="J23" i="6"/>
  <c r="J43" i="6" s="1"/>
  <c r="J42" i="6" s="1"/>
  <c r="J25" i="6"/>
  <c r="J38" i="6"/>
  <c r="J39" i="6" s="1"/>
  <c r="H26" i="6"/>
  <c r="G33" i="6"/>
  <c r="F42" i="6"/>
  <c r="F57" i="6" s="1"/>
  <c r="H53" i="6"/>
  <c r="H54" i="6" s="1"/>
  <c r="G36" i="6"/>
  <c r="H45" i="6"/>
  <c r="H46" i="6" s="1"/>
  <c r="I26" i="6"/>
  <c r="F39" i="6"/>
  <c r="I45" i="6"/>
  <c r="I46" i="6" s="1"/>
  <c r="E36" i="6"/>
  <c r="F25" i="5"/>
  <c r="G25" i="5"/>
  <c r="H25" i="5"/>
  <c r="I25" i="5"/>
  <c r="E25" i="5"/>
  <c r="F22" i="5"/>
  <c r="F33" i="5" s="1"/>
  <c r="G22" i="5"/>
  <c r="H22" i="5"/>
  <c r="I22" i="5"/>
  <c r="E22" i="5"/>
  <c r="E42" i="5" s="1"/>
  <c r="F41" i="5"/>
  <c r="G41" i="5" s="1"/>
  <c r="H41" i="5" s="1"/>
  <c r="I41" i="5" s="1"/>
  <c r="J41" i="5" s="1"/>
  <c r="K41" i="5" s="1"/>
  <c r="L41" i="5" s="1"/>
  <c r="M41" i="5" s="1"/>
  <c r="N41" i="5" s="1"/>
  <c r="F31" i="5"/>
  <c r="G31" i="5" s="1"/>
  <c r="H31" i="5" s="1"/>
  <c r="I31" i="5" s="1"/>
  <c r="J31" i="5" s="1"/>
  <c r="K31" i="5" s="1"/>
  <c r="L31" i="5" s="1"/>
  <c r="M31" i="5" s="1"/>
  <c r="N31" i="5" s="1"/>
  <c r="F21" i="5"/>
  <c r="G21" i="5" s="1"/>
  <c r="H21" i="5" s="1"/>
  <c r="I21" i="5" s="1"/>
  <c r="J21" i="5" s="1"/>
  <c r="K21" i="5" s="1"/>
  <c r="L21" i="5" s="1"/>
  <c r="M21" i="5" s="1"/>
  <c r="N21" i="5" s="1"/>
  <c r="D8" i="3"/>
  <c r="E8" i="3"/>
  <c r="F8" i="3"/>
  <c r="G8" i="3"/>
  <c r="D11" i="3"/>
  <c r="E11" i="3"/>
  <c r="F11" i="3"/>
  <c r="G11" i="3"/>
  <c r="D13" i="3"/>
  <c r="E13" i="3"/>
  <c r="F13" i="3"/>
  <c r="G13" i="3"/>
  <c r="D15" i="3"/>
  <c r="E15" i="3"/>
  <c r="F15" i="3"/>
  <c r="G15" i="3"/>
  <c r="D17" i="3"/>
  <c r="E17" i="3"/>
  <c r="F17" i="3"/>
  <c r="G17" i="3"/>
  <c r="C17" i="3"/>
  <c r="C15" i="3"/>
  <c r="C13" i="3"/>
  <c r="C11" i="3"/>
  <c r="C8" i="3"/>
  <c r="D20" i="15"/>
  <c r="D14" i="15" s="1"/>
  <c r="D15" i="15"/>
  <c r="K40" i="5"/>
  <c r="L40" i="5" s="1"/>
  <c r="M40" i="5" s="1"/>
  <c r="N40" i="5" s="1"/>
  <c r="I56" i="5"/>
  <c r="H56" i="5"/>
  <c r="G56" i="5"/>
  <c r="I53" i="5"/>
  <c r="H53" i="5"/>
  <c r="G53" i="5"/>
  <c r="F53" i="5"/>
  <c r="E53" i="5"/>
  <c r="K20" i="5"/>
  <c r="L20" i="5" s="1"/>
  <c r="M20" i="5" s="1"/>
  <c r="N20" i="5" s="1"/>
  <c r="J32" i="6" l="1"/>
  <c r="J35" i="6"/>
  <c r="J39" i="7"/>
  <c r="J59" i="7"/>
  <c r="J60" i="7" s="1"/>
  <c r="G59" i="6"/>
  <c r="G60" i="6" s="1"/>
  <c r="K39" i="7"/>
  <c r="K59" i="7"/>
  <c r="E49" i="6"/>
  <c r="H38" i="6"/>
  <c r="G48" i="6"/>
  <c r="G49" i="6" s="1"/>
  <c r="F59" i="7"/>
  <c r="F60" i="7" s="1"/>
  <c r="F39" i="7"/>
  <c r="G59" i="7"/>
  <c r="G60" i="7" s="1"/>
  <c r="I59" i="6"/>
  <c r="I60" i="6" s="1"/>
  <c r="I39" i="6"/>
  <c r="I59" i="7"/>
  <c r="I60" i="7" s="1"/>
  <c r="I39" i="7"/>
  <c r="I28" i="5"/>
  <c r="I48" i="5" s="1"/>
  <c r="I26" i="5"/>
  <c r="H28" i="5"/>
  <c r="H48" i="5" s="1"/>
  <c r="H26" i="5"/>
  <c r="F28" i="5"/>
  <c r="F48" i="5" s="1"/>
  <c r="F26" i="5"/>
  <c r="J22" i="5"/>
  <c r="J38" i="5" s="1"/>
  <c r="J39" i="5" s="1"/>
  <c r="I23" i="5"/>
  <c r="E28" i="5"/>
  <c r="E48" i="5" s="1"/>
  <c r="E26" i="5"/>
  <c r="E33" i="5"/>
  <c r="G45" i="5"/>
  <c r="G26" i="5"/>
  <c r="H42" i="5"/>
  <c r="H54" i="5" s="1"/>
  <c r="H23" i="5"/>
  <c r="I33" i="5"/>
  <c r="G23" i="5"/>
  <c r="G33" i="5"/>
  <c r="H33" i="5"/>
  <c r="J36" i="7"/>
  <c r="E49" i="7"/>
  <c r="K42" i="7"/>
  <c r="J57" i="7"/>
  <c r="J53" i="7"/>
  <c r="J54" i="7" s="1"/>
  <c r="J33" i="7"/>
  <c r="K56" i="7"/>
  <c r="K36" i="7"/>
  <c r="K53" i="7"/>
  <c r="K33" i="7"/>
  <c r="F48" i="7"/>
  <c r="F49" i="7" s="1"/>
  <c r="F29" i="7"/>
  <c r="G29" i="7"/>
  <c r="G48" i="7"/>
  <c r="G49" i="7" s="1"/>
  <c r="K49" i="7"/>
  <c r="K46" i="7"/>
  <c r="H49" i="7"/>
  <c r="L38" i="7"/>
  <c r="L43" i="7"/>
  <c r="L32" i="7"/>
  <c r="L35" i="7"/>
  <c r="I29" i="7"/>
  <c r="I48" i="7"/>
  <c r="I49" i="7" s="1"/>
  <c r="J46" i="7"/>
  <c r="J45" i="7" s="1"/>
  <c r="J49" i="7"/>
  <c r="F29" i="6"/>
  <c r="F48" i="6"/>
  <c r="F49" i="6" s="1"/>
  <c r="L22" i="6"/>
  <c r="L38" i="6" s="1"/>
  <c r="K39" i="6"/>
  <c r="K25" i="6"/>
  <c r="K32" i="6"/>
  <c r="K23" i="6"/>
  <c r="K43" i="6" s="1"/>
  <c r="K42" i="6" s="1"/>
  <c r="K35" i="6"/>
  <c r="F54" i="6"/>
  <c r="F46" i="6"/>
  <c r="F43" i="6"/>
  <c r="J60" i="6"/>
  <c r="G43" i="6"/>
  <c r="J26" i="6"/>
  <c r="J46" i="6" s="1"/>
  <c r="J45" i="6" s="1"/>
  <c r="J28" i="6"/>
  <c r="J29" i="6" s="1"/>
  <c r="J49" i="6" s="1"/>
  <c r="I49" i="6"/>
  <c r="J33" i="6"/>
  <c r="J53" i="6"/>
  <c r="J54" i="6" s="1"/>
  <c r="H49" i="6"/>
  <c r="J36" i="6"/>
  <c r="J56" i="6"/>
  <c r="J57" i="6" s="1"/>
  <c r="F60" i="6"/>
  <c r="F45" i="5"/>
  <c r="E45" i="5"/>
  <c r="E46" i="5" s="1"/>
  <c r="I45" i="5"/>
  <c r="G28" i="5"/>
  <c r="F23" i="5"/>
  <c r="F42" i="5"/>
  <c r="D9" i="15"/>
  <c r="D22" i="15" s="1"/>
  <c r="H36" i="5"/>
  <c r="I36" i="5"/>
  <c r="G42" i="5"/>
  <c r="F39" i="5"/>
  <c r="H45" i="5"/>
  <c r="H46" i="5" s="1"/>
  <c r="G39" i="5"/>
  <c r="H39" i="5"/>
  <c r="H59" i="5"/>
  <c r="H60" i="5" s="1"/>
  <c r="E36" i="5"/>
  <c r="E54" i="5"/>
  <c r="F36" i="5"/>
  <c r="F56" i="5"/>
  <c r="H57" i="5"/>
  <c r="E59" i="5"/>
  <c r="G36" i="5"/>
  <c r="I39" i="5"/>
  <c r="F59" i="5"/>
  <c r="G59" i="5"/>
  <c r="E56" i="5"/>
  <c r="E57" i="5" s="1"/>
  <c r="I42" i="5"/>
  <c r="I60" i="5" s="1"/>
  <c r="K45" i="7" l="1"/>
  <c r="K48" i="7" s="1"/>
  <c r="K51" i="7" s="1"/>
  <c r="K62" i="7" s="1"/>
  <c r="K63" i="7" s="1"/>
  <c r="H29" i="5"/>
  <c r="L39" i="7"/>
  <c r="L59" i="7"/>
  <c r="K54" i="7"/>
  <c r="K57" i="7"/>
  <c r="H59" i="7"/>
  <c r="H60" i="7" s="1"/>
  <c r="H39" i="7"/>
  <c r="H59" i="6"/>
  <c r="H60" i="6" s="1"/>
  <c r="H39" i="6"/>
  <c r="F49" i="5"/>
  <c r="I49" i="5"/>
  <c r="I29" i="5"/>
  <c r="E29" i="5"/>
  <c r="G60" i="5"/>
  <c r="K22" i="5"/>
  <c r="K25" i="5" s="1"/>
  <c r="K26" i="5" s="1"/>
  <c r="K46" i="5" s="1"/>
  <c r="F29" i="5"/>
  <c r="J23" i="5"/>
  <c r="J43" i="5" s="1"/>
  <c r="J42" i="5" s="1"/>
  <c r="J60" i="5" s="1"/>
  <c r="F46" i="5"/>
  <c r="J35" i="5"/>
  <c r="J56" i="5" s="1"/>
  <c r="J25" i="5"/>
  <c r="J26" i="5" s="1"/>
  <c r="J46" i="5" s="1"/>
  <c r="J32" i="5"/>
  <c r="J33" i="5" s="1"/>
  <c r="L53" i="7"/>
  <c r="L33" i="7"/>
  <c r="M32" i="7"/>
  <c r="M35" i="7"/>
  <c r="M38" i="7"/>
  <c r="M43" i="7"/>
  <c r="L46" i="7"/>
  <c r="L49" i="7"/>
  <c r="L56" i="7"/>
  <c r="L36" i="7"/>
  <c r="J48" i="7"/>
  <c r="J51" i="7" s="1"/>
  <c r="J62" i="7" s="1"/>
  <c r="J63" i="7" s="1"/>
  <c r="L42" i="7"/>
  <c r="K60" i="7"/>
  <c r="J48" i="6"/>
  <c r="J51" i="6" s="1"/>
  <c r="G48" i="5"/>
  <c r="G49" i="5" s="1"/>
  <c r="G29" i="5"/>
  <c r="D7" i="5"/>
  <c r="K53" i="6"/>
  <c r="K54" i="6" s="1"/>
  <c r="K33" i="6"/>
  <c r="K26" i="6"/>
  <c r="K46" i="6" s="1"/>
  <c r="K45" i="6" s="1"/>
  <c r="K28" i="6"/>
  <c r="K29" i="6" s="1"/>
  <c r="K49" i="6" s="1"/>
  <c r="K48" i="6" s="1"/>
  <c r="K60" i="6"/>
  <c r="K56" i="6"/>
  <c r="K57" i="6" s="1"/>
  <c r="K36" i="6"/>
  <c r="L32" i="6"/>
  <c r="L39" i="6"/>
  <c r="L35" i="6"/>
  <c r="M22" i="6"/>
  <c r="M38" i="6" s="1"/>
  <c r="L23" i="6"/>
  <c r="L43" i="6" s="1"/>
  <c r="L42" i="6" s="1"/>
  <c r="L25" i="6"/>
  <c r="I46" i="5"/>
  <c r="E49" i="5"/>
  <c r="F54" i="5"/>
  <c r="F57" i="5"/>
  <c r="F43" i="5"/>
  <c r="F60" i="5"/>
  <c r="G43" i="5"/>
  <c r="H49" i="5"/>
  <c r="G46" i="5"/>
  <c r="G54" i="5"/>
  <c r="G57" i="5"/>
  <c r="H43" i="5"/>
  <c r="I43" i="5"/>
  <c r="I57" i="5"/>
  <c r="I54" i="5"/>
  <c r="K23" i="5" l="1"/>
  <c r="K43" i="5" s="1"/>
  <c r="K38" i="5"/>
  <c r="K39" i="5" s="1"/>
  <c r="M39" i="7"/>
  <c r="M59" i="7"/>
  <c r="L57" i="7"/>
  <c r="L45" i="7"/>
  <c r="L48" i="7" s="1"/>
  <c r="L51" i="7" s="1"/>
  <c r="L62" i="7" s="1"/>
  <c r="L63" i="7" s="1"/>
  <c r="K35" i="5"/>
  <c r="K56" i="5" s="1"/>
  <c r="J53" i="5"/>
  <c r="J36" i="5"/>
  <c r="K32" i="5"/>
  <c r="K33" i="5" s="1"/>
  <c r="L22" i="5"/>
  <c r="M22" i="5" s="1"/>
  <c r="J28" i="5"/>
  <c r="J29" i="5" s="1"/>
  <c r="J49" i="5" s="1"/>
  <c r="L54" i="7"/>
  <c r="M49" i="7"/>
  <c r="M46" i="7"/>
  <c r="N43" i="7"/>
  <c r="N32" i="7"/>
  <c r="N35" i="7"/>
  <c r="N38" i="7"/>
  <c r="M56" i="7"/>
  <c r="M36" i="7"/>
  <c r="M42" i="7"/>
  <c r="L60" i="7"/>
  <c r="M33" i="7"/>
  <c r="M53" i="7"/>
  <c r="J62" i="6"/>
  <c r="J63" i="6" s="1"/>
  <c r="L36" i="6"/>
  <c r="L56" i="6"/>
  <c r="L57" i="6" s="1"/>
  <c r="K51" i="6"/>
  <c r="K62" i="6" s="1"/>
  <c r="K63" i="6" s="1"/>
  <c r="L33" i="6"/>
  <c r="L53" i="6"/>
  <c r="L54" i="6" s="1"/>
  <c r="L60" i="6"/>
  <c r="L28" i="6"/>
  <c r="L29" i="6" s="1"/>
  <c r="L49" i="6" s="1"/>
  <c r="L26" i="6"/>
  <c r="L46" i="6" s="1"/>
  <c r="L45" i="6" s="1"/>
  <c r="M39" i="6"/>
  <c r="M25" i="6"/>
  <c r="N22" i="6"/>
  <c r="N38" i="6" s="1"/>
  <c r="M32" i="6"/>
  <c r="M35" i="6"/>
  <c r="M23" i="6"/>
  <c r="M43" i="6" s="1"/>
  <c r="M42" i="6" s="1"/>
  <c r="K28" i="5"/>
  <c r="K42" i="5"/>
  <c r="K60" i="5" s="1"/>
  <c r="J57" i="5"/>
  <c r="J45" i="5"/>
  <c r="J54" i="5"/>
  <c r="N39" i="7" l="1"/>
  <c r="N59" i="7"/>
  <c r="K53" i="5"/>
  <c r="K36" i="5"/>
  <c r="L32" i="5"/>
  <c r="L33" i="5" s="1"/>
  <c r="L25" i="5"/>
  <c r="L26" i="5" s="1"/>
  <c r="L46" i="5" s="1"/>
  <c r="L35" i="5"/>
  <c r="L56" i="5" s="1"/>
  <c r="L23" i="5"/>
  <c r="L43" i="5" s="1"/>
  <c r="L42" i="5" s="1"/>
  <c r="L60" i="5" s="1"/>
  <c r="L38" i="5"/>
  <c r="L39" i="5" s="1"/>
  <c r="N56" i="7"/>
  <c r="N36" i="7"/>
  <c r="N42" i="7"/>
  <c r="M60" i="7"/>
  <c r="N33" i="7"/>
  <c r="N53" i="7"/>
  <c r="N49" i="7"/>
  <c r="N46" i="7"/>
  <c r="M54" i="7"/>
  <c r="M45" i="7"/>
  <c r="M57" i="7"/>
  <c r="M38" i="5"/>
  <c r="M39" i="5" s="1"/>
  <c r="M23" i="5"/>
  <c r="M43" i="5" s="1"/>
  <c r="K29" i="5"/>
  <c r="K49" i="5" s="1"/>
  <c r="L48" i="6"/>
  <c r="L51" i="6" s="1"/>
  <c r="L62" i="6" s="1"/>
  <c r="L63" i="6" s="1"/>
  <c r="M60" i="6"/>
  <c r="M26" i="6"/>
  <c r="M46" i="6" s="1"/>
  <c r="M45" i="6" s="1"/>
  <c r="M28" i="6"/>
  <c r="M29" i="6" s="1"/>
  <c r="M49" i="6" s="1"/>
  <c r="M56" i="6"/>
  <c r="M57" i="6" s="1"/>
  <c r="M36" i="6"/>
  <c r="M53" i="6"/>
  <c r="M54" i="6" s="1"/>
  <c r="M33" i="6"/>
  <c r="N23" i="6"/>
  <c r="N43" i="6" s="1"/>
  <c r="N42" i="6" s="1"/>
  <c r="N60" i="6" s="1"/>
  <c r="N25" i="6"/>
  <c r="N39" i="6"/>
  <c r="N32" i="6"/>
  <c r="N35" i="6"/>
  <c r="N22" i="5"/>
  <c r="M32" i="5"/>
  <c r="M33" i="5" s="1"/>
  <c r="M35" i="5"/>
  <c r="M25" i="5"/>
  <c r="M26" i="5" s="1"/>
  <c r="M46" i="5" s="1"/>
  <c r="J48" i="5"/>
  <c r="J51" i="5" s="1"/>
  <c r="J62" i="5" s="1"/>
  <c r="J63" i="5" s="1"/>
  <c r="K57" i="5"/>
  <c r="K54" i="5"/>
  <c r="K45" i="5"/>
  <c r="N60" i="7" l="1"/>
  <c r="N54" i="7"/>
  <c r="L53" i="5"/>
  <c r="N45" i="7"/>
  <c r="N48" i="7" s="1"/>
  <c r="N51" i="7" s="1"/>
  <c r="N62" i="7" s="1"/>
  <c r="N65" i="7" s="1"/>
  <c r="N66" i="7" s="1"/>
  <c r="L28" i="5"/>
  <c r="L29" i="5" s="1"/>
  <c r="L49" i="5" s="1"/>
  <c r="L36" i="5"/>
  <c r="M48" i="7"/>
  <c r="M51" i="7" s="1"/>
  <c r="M62" i="7" s="1"/>
  <c r="M63" i="7" s="1"/>
  <c r="N57" i="7"/>
  <c r="N38" i="5"/>
  <c r="N39" i="5" s="1"/>
  <c r="N23" i="5"/>
  <c r="N43" i="5" s="1"/>
  <c r="N28" i="6"/>
  <c r="N29" i="6" s="1"/>
  <c r="N49" i="6" s="1"/>
  <c r="N26" i="6"/>
  <c r="N46" i="6" s="1"/>
  <c r="N45" i="6" s="1"/>
  <c r="N56" i="6"/>
  <c r="N57" i="6" s="1"/>
  <c r="N36" i="6"/>
  <c r="N53" i="6"/>
  <c r="N54" i="6" s="1"/>
  <c r="N33" i="6"/>
  <c r="M48" i="6"/>
  <c r="M51" i="6" s="1"/>
  <c r="M62" i="6" s="1"/>
  <c r="M63" i="6" s="1"/>
  <c r="M36" i="5"/>
  <c r="M56" i="5"/>
  <c r="M53" i="5"/>
  <c r="N32" i="5"/>
  <c r="N35" i="5"/>
  <c r="N25" i="5"/>
  <c r="M28" i="5"/>
  <c r="L57" i="5"/>
  <c r="M42" i="5"/>
  <c r="M60" i="5" s="1"/>
  <c r="L54" i="5"/>
  <c r="L45" i="5"/>
  <c r="K48" i="5"/>
  <c r="K51" i="5" s="1"/>
  <c r="K62" i="5" s="1"/>
  <c r="K63" i="5" s="1"/>
  <c r="N63" i="7" l="1"/>
  <c r="M29" i="5"/>
  <c r="M49" i="5" s="1"/>
  <c r="N28" i="5"/>
  <c r="N26" i="5"/>
  <c r="N46" i="5" s="1"/>
  <c r="N53" i="5"/>
  <c r="N33" i="5"/>
  <c r="N48" i="6"/>
  <c r="N51" i="6" s="1"/>
  <c r="N62" i="6" s="1"/>
  <c r="N65" i="6" s="1"/>
  <c r="N66" i="6" s="1"/>
  <c r="N56" i="5"/>
  <c r="N36" i="5"/>
  <c r="L48" i="5"/>
  <c r="L51" i="5" s="1"/>
  <c r="L62" i="5" s="1"/>
  <c r="L63" i="5" s="1"/>
  <c r="N42" i="5"/>
  <c r="N60" i="5" s="1"/>
  <c r="M54" i="5"/>
  <c r="M57" i="5"/>
  <c r="M45" i="5"/>
  <c r="N67" i="7" l="1"/>
  <c r="N29" i="5"/>
  <c r="N49" i="5" s="1"/>
  <c r="N63" i="6"/>
  <c r="N54" i="5"/>
  <c r="N45" i="5"/>
  <c r="N57" i="5"/>
  <c r="M48" i="5"/>
  <c r="M51" i="5" s="1"/>
  <c r="M62" i="5" s="1"/>
  <c r="M63" i="5" s="1"/>
  <c r="F9" i="11" l="1"/>
  <c r="N76" i="7"/>
  <c r="N75" i="7"/>
  <c r="N74" i="7"/>
  <c r="N70" i="7"/>
  <c r="N72" i="7" s="1"/>
  <c r="N48" i="5"/>
  <c r="N51" i="5" s="1"/>
  <c r="N62" i="5" s="1"/>
  <c r="N63" i="5" l="1"/>
  <c r="N65" i="5"/>
  <c r="N66" i="5" s="1"/>
  <c r="N67" i="5" l="1"/>
  <c r="N76" i="5" l="1"/>
  <c r="N74" i="5"/>
  <c r="F7" i="11"/>
  <c r="N75" i="5"/>
  <c r="N70" i="5"/>
  <c r="N72" i="5" s="1"/>
  <c r="N67" i="6" l="1"/>
  <c r="F8" i="11" l="1"/>
  <c r="F11" i="11" s="1"/>
  <c r="N74" i="6"/>
  <c r="N75" i="6"/>
  <c r="N76" i="6"/>
  <c r="N70" i="6"/>
  <c r="N72" i="6" s="1"/>
  <c r="F13" i="11" l="1"/>
  <c r="F16" i="11" s="1"/>
  <c r="I6" i="9"/>
  <c r="C45" i="10" l="1"/>
  <c r="C19" i="11"/>
  <c r="C7" i="13" s="1"/>
  <c r="H7" i="13" s="1"/>
  <c r="C55" i="10"/>
  <c r="C21" i="11"/>
  <c r="E7" i="13" s="1"/>
  <c r="C20" i="11"/>
  <c r="D7" i="13" s="1"/>
  <c r="H15" i="9"/>
  <c r="F15" i="9"/>
  <c r="G15" i="9"/>
  <c r="I7" i="13" l="1"/>
</calcChain>
</file>

<file path=xl/sharedStrings.xml><?xml version="1.0" encoding="utf-8"?>
<sst xmlns="http://schemas.openxmlformats.org/spreadsheetml/2006/main" count="564" uniqueCount="213">
  <si>
    <t>Deutsche Telekom AG</t>
  </si>
  <si>
    <t>Equity Research &amp; Valuation Project</t>
  </si>
  <si>
    <t>DCF</t>
  </si>
  <si>
    <t>Trading Comps</t>
  </si>
  <si>
    <t>Precedent Transactions</t>
  </si>
  <si>
    <t>SOTP</t>
  </si>
  <si>
    <t>Historical Financials</t>
  </si>
  <si>
    <t xml:space="preserve">Revenue </t>
  </si>
  <si>
    <t xml:space="preserve">EBIT </t>
  </si>
  <si>
    <t>Net Income</t>
  </si>
  <si>
    <t>CapEx</t>
  </si>
  <si>
    <t>FCF</t>
  </si>
  <si>
    <t>Net Debt</t>
  </si>
  <si>
    <t>€m</t>
  </si>
  <si>
    <t xml:space="preserve">D&amp;A </t>
  </si>
  <si>
    <t>EBITDA Margin %</t>
  </si>
  <si>
    <t>EBIT Margin %</t>
  </si>
  <si>
    <t>Net Margin %</t>
  </si>
  <si>
    <t>CapEx % Revenue</t>
  </si>
  <si>
    <t>FCF Margin %</t>
  </si>
  <si>
    <t>x</t>
  </si>
  <si>
    <t>Assumptions</t>
  </si>
  <si>
    <t>Valuation Assumptions</t>
  </si>
  <si>
    <t>WACC</t>
  </si>
  <si>
    <t>TGR</t>
  </si>
  <si>
    <t>Income Statement</t>
  </si>
  <si>
    <t>Revenue</t>
  </si>
  <si>
    <t>% growth</t>
  </si>
  <si>
    <t>EBIT</t>
  </si>
  <si>
    <t>% of sales</t>
  </si>
  <si>
    <t>Taxes</t>
  </si>
  <si>
    <t>% of EBIT</t>
  </si>
  <si>
    <t>Cash Flow Items</t>
  </si>
  <si>
    <t>D&amp;A</t>
  </si>
  <si>
    <t>Change in NWC</t>
  </si>
  <si>
    <t>% margin</t>
  </si>
  <si>
    <t>Unlevered FCF</t>
  </si>
  <si>
    <t>Present Value of FCF</t>
  </si>
  <si>
    <t>Terminal Value</t>
  </si>
  <si>
    <t>Present Value of Terminal Value</t>
  </si>
  <si>
    <t>Enterprise Value</t>
  </si>
  <si>
    <t>+ Cash</t>
  </si>
  <si>
    <t>- Debt</t>
  </si>
  <si>
    <t>Equity Value</t>
  </si>
  <si>
    <t>Shares</t>
  </si>
  <si>
    <t>Share Price</t>
  </si>
  <si>
    <t>Germany Telekom DCF</t>
  </si>
  <si>
    <t>WACC =  (% Equity x Cost of Equity) + (% Debt x Cost of Debt x (1 -Tax rate))</t>
  </si>
  <si>
    <t>Cost of Equity = Risk Free Rate + (Beta x (Expected Market Return - Risk Free Rate))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</si>
  <si>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</si>
  <si>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</si>
  <si>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</si>
  <si>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</si>
  <si>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</si>
  <si>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</si>
  <si>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</si>
  <si>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</si>
  <si>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</si>
  <si>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</si>
  <si>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NOPAT</t>
  </si>
  <si>
    <t>Germany</t>
  </si>
  <si>
    <t>EBITDA</t>
  </si>
  <si>
    <t>Europe</t>
  </si>
  <si>
    <t>T-Systems</t>
  </si>
  <si>
    <t>TMUS</t>
  </si>
  <si>
    <t>Revenue Growth %</t>
  </si>
  <si>
    <t xml:space="preserve">EBITDA </t>
  </si>
  <si>
    <t>Segment Financials</t>
  </si>
  <si>
    <t>-</t>
  </si>
  <si>
    <t>Operating Assumptions</t>
  </si>
  <si>
    <t>Historicals</t>
  </si>
  <si>
    <t>2026E</t>
  </si>
  <si>
    <t>2027E</t>
  </si>
  <si>
    <t>2028E</t>
  </si>
  <si>
    <t>2029E</t>
  </si>
  <si>
    <t>2030E</t>
  </si>
  <si>
    <t>D&amp;A % of Revenue</t>
  </si>
  <si>
    <t>CapEx % of Revenue</t>
  </si>
  <si>
    <t>Change in NWC % of Revenue</t>
  </si>
  <si>
    <t xml:space="preserve">D&amp;A % Revenue </t>
  </si>
  <si>
    <t>Cash CapEx</t>
  </si>
  <si>
    <t>Operating NWC</t>
  </si>
  <si>
    <t>Change in NWC (Δ)</t>
  </si>
  <si>
    <t>NWC % Revenue</t>
  </si>
  <si>
    <t>Germany NWC</t>
  </si>
  <si>
    <t>Europe NWC</t>
  </si>
  <si>
    <t>T-Systems NWC</t>
  </si>
  <si>
    <t>TMUS NWC</t>
  </si>
  <si>
    <t>Group NWC (NWC is not disclosed for individual segments)</t>
  </si>
  <si>
    <t>xx</t>
  </si>
  <si>
    <t>Stop here because we are doing segments so we don’t have outstanding shares for individual segments</t>
  </si>
  <si>
    <t>Europe Telekom DCF</t>
  </si>
  <si>
    <t>EV/EBITDA</t>
  </si>
  <si>
    <t>T-Systems DCF</t>
  </si>
  <si>
    <t>TMUS Stake</t>
  </si>
  <si>
    <t>TMUS Share Price ($)</t>
  </si>
  <si>
    <t>Shares Outstanding (m)</t>
  </si>
  <si>
    <t>Market Cap ($m)</t>
  </si>
  <si>
    <t>DT Ownership %</t>
  </si>
  <si>
    <t>DT Stake Value ($m)</t>
  </si>
  <si>
    <t>EUR/USD</t>
  </si>
  <si>
    <t>TMUS Stake Value for SOTP</t>
  </si>
  <si>
    <t>DT Stake Value (€m)</t>
  </si>
  <si>
    <t>SOTP Telekom</t>
  </si>
  <si>
    <t>Component</t>
  </si>
  <si>
    <t>Gross Asset Value</t>
  </si>
  <si>
    <t>Value (€m)</t>
  </si>
  <si>
    <t>Sum of the Parts Valuation - Telekom</t>
  </si>
  <si>
    <t>Implied Parent Equity Value</t>
  </si>
  <si>
    <t>Shares Outstanding</t>
  </si>
  <si>
    <t>Implied Target Share Price (€)</t>
  </si>
  <si>
    <t>EV/EBITDA:</t>
  </si>
  <si>
    <t>EV/REVENUE:</t>
  </si>
  <si>
    <t>EV/EBIT:</t>
  </si>
  <si>
    <t>Comparable Company Analysis</t>
  </si>
  <si>
    <t>Market Data</t>
  </si>
  <si>
    <t>Market Cap</t>
  </si>
  <si>
    <t>Company Name</t>
  </si>
  <si>
    <t>Vodafone Group</t>
  </si>
  <si>
    <t>ORA.PA</t>
  </si>
  <si>
    <t>VOD.L</t>
  </si>
  <si>
    <t>TEF.MC</t>
  </si>
  <si>
    <t>SCMN.SW</t>
  </si>
  <si>
    <t>Ticker</t>
  </si>
  <si>
    <t>KPN.AS</t>
  </si>
  <si>
    <t>Stock Price</t>
  </si>
  <si>
    <t>Shares (m)</t>
  </si>
  <si>
    <t>(+) Net Debt</t>
  </si>
  <si>
    <t>(+) Minorities</t>
  </si>
  <si>
    <t>(=) Enterprise Value</t>
  </si>
  <si>
    <t>Orange SA</t>
  </si>
  <si>
    <t>Telefónica SA</t>
  </si>
  <si>
    <t>KPN NV</t>
  </si>
  <si>
    <t>Swisscom AG</t>
  </si>
  <si>
    <t>EUR/EUR</t>
  </si>
  <si>
    <t>GBP/EUR</t>
  </si>
  <si>
    <t>CHF/EUR</t>
  </si>
  <si>
    <t>USD/EUR</t>
  </si>
  <si>
    <t>Financials</t>
  </si>
  <si>
    <t>EV/Revenue</t>
  </si>
  <si>
    <t>EV/EBIT</t>
  </si>
  <si>
    <t>Mean</t>
  </si>
  <si>
    <t>Median</t>
  </si>
  <si>
    <t>Revenue (€m)</t>
  </si>
  <si>
    <t>EBITDA (€m)</t>
  </si>
  <si>
    <t>EBIT (€m)</t>
  </si>
  <si>
    <t>DTE.DE</t>
  </si>
  <si>
    <t>Deal Information</t>
  </si>
  <si>
    <t>Deal 1</t>
  </si>
  <si>
    <t>Deal 2</t>
  </si>
  <si>
    <t>Deal 3</t>
  </si>
  <si>
    <t>Deal 4</t>
  </si>
  <si>
    <t>Deal 5</t>
  </si>
  <si>
    <t>Announcement Date</t>
  </si>
  <si>
    <t>Acquirer</t>
  </si>
  <si>
    <t>Target</t>
  </si>
  <si>
    <t>Country</t>
  </si>
  <si>
    <t>Enterprise Value (€m)</t>
  </si>
  <si>
    <t>Transaction Multiples</t>
  </si>
  <si>
    <t>Statistic</t>
  </si>
  <si>
    <t>Min</t>
  </si>
  <si>
    <t>Max</t>
  </si>
  <si>
    <t>Revenue Method</t>
  </si>
  <si>
    <t>EBITDA Method</t>
  </si>
  <si>
    <t>EBIT Method</t>
  </si>
  <si>
    <t>Method for DT Value</t>
  </si>
  <si>
    <t>Implied EV (€m)</t>
  </si>
  <si>
    <t>Orange</t>
  </si>
  <si>
    <t>Vodafone UK</t>
  </si>
  <si>
    <t>Zegona Communications</t>
  </si>
  <si>
    <t>Bouygues Telecom</t>
  </si>
  <si>
    <t>Virgin Media (Liberty)</t>
  </si>
  <si>
    <t>MasMovil</t>
  </si>
  <si>
    <t>Three UK</t>
  </si>
  <si>
    <t>Vodafone Spain</t>
  </si>
  <si>
    <t>La Poste Telecom</t>
  </si>
  <si>
    <t>O2 UK (Telefonica)</t>
  </si>
  <si>
    <t>Spain</t>
  </si>
  <si>
    <t>United Kingdom</t>
  </si>
  <si>
    <t>France</t>
  </si>
  <si>
    <t>Target Financials (€m)</t>
  </si>
  <si>
    <t>Deal Type</t>
  </si>
  <si>
    <t>Merger / JV (combined basis)</t>
  </si>
  <si>
    <t>Acquisition</t>
  </si>
  <si>
    <t>Precedent implies a control premium of:</t>
  </si>
  <si>
    <t>Group Net Debt roughly 133,800 and TMUS holds roughly 95,300 of that debt on its own balance sheet</t>
  </si>
  <si>
    <t>Deutsche Telekom AG (European Business Only)</t>
  </si>
  <si>
    <t>For Comps</t>
  </si>
  <si>
    <t>Simon Norrman - Summer 2026</t>
  </si>
  <si>
    <t>Methods used:</t>
  </si>
  <si>
    <t>Revenue excl. TMUS</t>
  </si>
  <si>
    <t>EBITDA excl. TMUS</t>
  </si>
  <si>
    <t>EBIT excl. TMUS</t>
  </si>
  <si>
    <t>Sensitivity Analysis</t>
  </si>
  <si>
    <t xml:space="preserve">Selected EV (EBITDA Method) </t>
  </si>
  <si>
    <t>Selected EV (Revenue Method)</t>
  </si>
  <si>
    <t>High</t>
  </si>
  <si>
    <t>Low</t>
  </si>
  <si>
    <t xml:space="preserve">Low Case: </t>
  </si>
  <si>
    <t>Base Case:</t>
  </si>
  <si>
    <t>High Case:</t>
  </si>
  <si>
    <t>Selected EV (EBITDA)</t>
  </si>
  <si>
    <t>Selected EV (Revenue)</t>
  </si>
  <si>
    <t>Base</t>
  </si>
  <si>
    <t>Selected EV (EBIT)</t>
  </si>
  <si>
    <t>Low Case:</t>
  </si>
  <si>
    <t>Method</t>
  </si>
  <si>
    <t>Precedents</t>
  </si>
  <si>
    <t>Football Field</t>
  </si>
  <si>
    <t>Start</t>
  </si>
  <si>
    <t>Width</t>
  </si>
  <si>
    <t>Current Share Price of DT (27€)</t>
  </si>
  <si>
    <t>Because of the multi-segment SOTP framework where separate discountrates where used for individual operating segments and then a market based valuation wa used for the TMUS stake, a consolidated WACC/TGR senstivity was not noe as it would not accurately refelct the underlying valuation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</si>
</sst>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* #,##0.00\ [$€-41B]_-;\-* #,##0.00\ [$€-41B]_-;_-* &quot;-&quot;??\ [$€-41B]_-;_-@_-"/>
    <numFmt numFmtId="165" formatCode="_([$$-409]* #,##0.00_);_([$$-409]* \(#,##0.00\);_([$$-409]* &quot;-&quot;??_);_(@_)"/>
    <numFmt numFmtId="166" formatCode="0.0%;\(0.0%\)"/>
    <numFmt numFmtId="167" formatCode="0.0%"/>
    <numFmt numFmtId="168" formatCode="_-* #,##0_-;\-* #,##0_-;_-* &quot;-&quot;??_-;_-@_-"/>
    <numFmt numFmtId="169" formatCode="\€#,##0.00"/>
    <numFmt numFmtId="170" formatCode="\£#,##0.00"/>
    <numFmt numFmtId="171" formatCode="&quot;CHF &quot;#,##0.00"/>
    <numFmt numFmtId="172" formatCode="\€#,##0"/>
    <numFmt numFmtId="173" formatCode="0.00\x"/>
    <numFmt numFmtId="174" formatCode="[$-409]mmm\-yy"/>
    <numFmt numFmtId="175" formatCode="#,##0.00\ &quot;€&quot;"/>
    <numFmt numFmtId="176" formatCode="#,##0\ &quot;€&quot;"/>
    <numFmt numFmtId="177" formatCode="_-* #,##0.00\ _€_-;\-* #,##0.00\ _€_-;_-* &quot;-&quot;??\ _€_-;_-@_-"/>
  </numFmts>
  <fonts count="60" x14ac:knownFonts="1">
    <font>
      <sz val="12"/>
      <color theme="1"/>
      <name val="Aptos Narrow"/>
      <family val="2"/>
      <charset val="238"/>
    </font>
    <font>
      <sz val="12"/>
      <color theme="1"/>
      <name val="Aptos Narrow"/>
      <family val="2"/>
      <charset val="238"/>
    </font>
    <font>
      <b/>
      <u/>
      <sz val="12"/>
      <color theme="1"/>
      <name val="Aptos Display"/>
      <family val="2"/>
      <scheme val="major"/>
    </font>
    <font>
      <sz val="18"/>
      <color theme="1"/>
      <name val="Aptos Narrow"/>
      <family val="2"/>
      <charset val="238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</font>
    <font>
      <b/>
      <sz val="12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theme="3" tint="9.9978637043366805E-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  <charset val="238"/>
    </font>
    <font>
      <sz val="9"/>
      <color theme="1"/>
      <name val="Aptos Narrow"/>
      <family val="2"/>
      <charset val="238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i/>
      <sz val="11"/>
      <color theme="1"/>
      <name val="Aptos Narrow"/>
      <family val="2"/>
    </font>
    <font>
      <sz val="11"/>
      <color theme="3" tint="9.9978637043366805E-2"/>
      <name val="Aptos Narrow"/>
      <family val="2"/>
      <charset val="238"/>
    </font>
    <font>
      <i/>
      <sz val="12"/>
      <name val="Aptos Narrow"/>
      <family val="2"/>
    </font>
    <font>
      <i/>
      <sz val="11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0"/>
      <color theme="1"/>
      <name val="Aptos Narrow"/>
      <family val="2"/>
      <scheme val="minor"/>
    </font>
    <font>
      <sz val="11"/>
      <color theme="6"/>
      <name val="Aptos Narrow"/>
      <family val="2"/>
      <charset val="238"/>
    </font>
    <font>
      <i/>
      <sz val="11"/>
      <color theme="3" tint="9.9978637043366805E-2"/>
      <name val="Aptos Narrow"/>
      <family val="2"/>
    </font>
    <font>
      <sz val="12"/>
      <color theme="0"/>
      <name val="Aptos Narrow"/>
      <family val="2"/>
      <charset val="238"/>
    </font>
    <font>
      <sz val="12"/>
      <name val="Aptos Narrow"/>
      <family val="2"/>
    </font>
    <font>
      <b/>
      <sz val="11"/>
      <color rgb="FF7030A0"/>
      <name val="Aptos Narrow"/>
      <family val="2"/>
      <scheme val="minor"/>
    </font>
    <font>
      <i/>
      <sz val="9"/>
      <color theme="1"/>
      <name val="Aptos Narrow"/>
      <family val="2"/>
    </font>
    <font>
      <sz val="11"/>
      <color rgb="FF000000"/>
      <name val="Aptos Narrow"/>
      <family val="2"/>
      <scheme val="minor"/>
    </font>
    <font>
      <b/>
      <sz val="16"/>
      <color theme="1"/>
      <name val="Aptos Narrow"/>
      <family val="2"/>
    </font>
    <font>
      <b/>
      <sz val="9"/>
      <color theme="1"/>
      <name val="Aptos Narrow"/>
      <family val="2"/>
    </font>
    <font>
      <i/>
      <sz val="12"/>
      <color theme="1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2"/>
      <color rgb="FF0000FF"/>
      <name val="Aptos Narrow"/>
      <family val="2"/>
      <charset val="238"/>
    </font>
    <font>
      <sz val="11"/>
      <color theme="3" tint="9.9978637043366805E-2"/>
      <name val="Aptos Narrow"/>
      <family val="2"/>
      <scheme val="minor"/>
    </font>
    <font>
      <sz val="12"/>
      <color theme="0"/>
      <name val="Aptos Narrow"/>
      <family val="2"/>
    </font>
    <font>
      <b/>
      <sz val="12"/>
      <color rgb="FFFFFFFF"/>
      <name val="Aptos Narrow"/>
      <family val="2"/>
    </font>
    <font>
      <b/>
      <i/>
      <sz val="11"/>
      <color theme="1"/>
      <name val="Aptos Narrow"/>
      <family val="2"/>
    </font>
    <font>
      <sz val="10"/>
      <color theme="1"/>
      <name val="Aptos Narrow"/>
      <family val="2"/>
      <charset val="238"/>
    </font>
    <font>
      <sz val="8"/>
      <color theme="1"/>
      <name val="Aptos Narrow"/>
      <family val="2"/>
      <charset val="238"/>
    </font>
    <font>
      <i/>
      <sz val="11"/>
      <color theme="9"/>
      <name val="Aptos Narrow"/>
      <family val="2"/>
    </font>
    <font>
      <i/>
      <sz val="11"/>
      <color theme="9"/>
      <name val="Aptos Narrow"/>
      <family val="2"/>
      <scheme val="minor"/>
    </font>
    <font>
      <b/>
      <sz val="11"/>
      <color theme="9"/>
      <name val="Aptos Narrow"/>
      <family val="2"/>
    </font>
    <font>
      <b/>
      <sz val="22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b/>
      <i/>
      <sz val="11"/>
      <color theme="9"/>
      <name val="Aptos Narrow"/>
      <family val="2"/>
    </font>
    <font>
      <b/>
      <sz val="11"/>
      <color theme="3" tint="9.9978637043366805E-2"/>
      <name val="Aptos Narrow"/>
      <family val="2"/>
    </font>
    <font>
      <sz val="11"/>
      <color theme="9"/>
      <name val="Aptos Narrow"/>
      <family val="2"/>
    </font>
    <font>
      <sz val="10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/>
      <bottom style="thin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0" xfId="0" applyAlignment="1">
      <alignment vertical="center"/>
    </xf>
    <xf numFmtId="0" fontId="4" fillId="0" borderId="1" xfId="0" applyFont="1" applyBorder="1"/>
    <xf numFmtId="0" fontId="7" fillId="2" borderId="0" xfId="0" applyFont="1" applyFill="1"/>
    <xf numFmtId="0" fontId="0" fillId="2" borderId="0" xfId="0" applyFill="1"/>
    <xf numFmtId="0" fontId="8" fillId="0" borderId="0" xfId="0" applyFont="1"/>
    <xf numFmtId="0" fontId="9" fillId="3" borderId="0" xfId="0" applyFont="1" applyFill="1"/>
    <xf numFmtId="3" fontId="10" fillId="3" borderId="0" xfId="0" applyNumberFormat="1" applyFont="1" applyFill="1"/>
    <xf numFmtId="0" fontId="11" fillId="3" borderId="0" xfId="0" applyFont="1" applyFill="1"/>
    <xf numFmtId="167" fontId="11" fillId="3" borderId="0" xfId="1" applyNumberFormat="1" applyFont="1" applyFill="1"/>
    <xf numFmtId="167" fontId="11" fillId="3" borderId="5" xfId="1" applyNumberFormat="1" applyFont="1" applyFill="1" applyBorder="1"/>
    <xf numFmtId="167" fontId="11" fillId="3" borderId="0" xfId="1" applyNumberFormat="1" applyFont="1" applyFill="1" applyBorder="1"/>
    <xf numFmtId="0" fontId="12" fillId="3" borderId="0" xfId="0" applyFont="1" applyFill="1"/>
    <xf numFmtId="0" fontId="9" fillId="3" borderId="5" xfId="0" applyFont="1" applyFill="1" applyBorder="1"/>
    <xf numFmtId="3" fontId="9" fillId="3" borderId="0" xfId="0" applyNumberFormat="1" applyFont="1" applyFill="1"/>
    <xf numFmtId="3" fontId="9" fillId="3" borderId="5" xfId="0" applyNumberFormat="1" applyFont="1" applyFill="1" applyBorder="1"/>
    <xf numFmtId="37" fontId="10" fillId="3" borderId="0" xfId="0" applyNumberFormat="1" applyFont="1" applyFill="1"/>
    <xf numFmtId="166" fontId="13" fillId="0" borderId="0" xfId="1" applyNumberFormat="1" applyFont="1"/>
    <xf numFmtId="166" fontId="13" fillId="0" borderId="5" xfId="1" applyNumberFormat="1" applyFont="1" applyBorder="1"/>
    <xf numFmtId="0" fontId="0" fillId="0" borderId="5" xfId="0" applyBorder="1"/>
    <xf numFmtId="3" fontId="14" fillId="0" borderId="0" xfId="0" applyNumberFormat="1" applyFont="1"/>
    <xf numFmtId="3" fontId="14" fillId="0" borderId="5" xfId="0" applyNumberFormat="1" applyFont="1" applyBorder="1"/>
    <xf numFmtId="0" fontId="13" fillId="0" borderId="0" xfId="0" applyFont="1"/>
    <xf numFmtId="167" fontId="13" fillId="0" borderId="0" xfId="1" applyNumberFormat="1" applyFont="1"/>
    <xf numFmtId="167" fontId="13" fillId="0" borderId="5" xfId="1" applyNumberFormat="1" applyFont="1" applyBorder="1"/>
    <xf numFmtId="167" fontId="0" fillId="0" borderId="0" xfId="0" applyNumberFormat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3" fontId="8" fillId="0" borderId="7" xfId="0" applyNumberFormat="1" applyFont="1" applyBorder="1"/>
    <xf numFmtId="3" fontId="8" fillId="0" borderId="8" xfId="0" applyNumberFormat="1" applyFont="1" applyBorder="1"/>
    <xf numFmtId="3" fontId="0" fillId="0" borderId="0" xfId="0" applyNumberFormat="1"/>
    <xf numFmtId="167" fontId="13" fillId="0" borderId="0" xfId="1" applyNumberFormat="1" applyFont="1" applyFill="1" applyBorder="1"/>
    <xf numFmtId="37" fontId="14" fillId="0" borderId="0" xfId="0" applyNumberFormat="1" applyFont="1"/>
    <xf numFmtId="37" fontId="14" fillId="0" borderId="5" xfId="0" applyNumberFormat="1" applyFont="1" applyBorder="1"/>
    <xf numFmtId="37" fontId="9" fillId="0" borderId="0" xfId="0" applyNumberFormat="1" applyFont="1"/>
    <xf numFmtId="0" fontId="0" fillId="0" borderId="9" xfId="0" applyBorder="1"/>
    <xf numFmtId="37" fontId="8" fillId="0" borderId="7" xfId="0" applyNumberFormat="1" applyFont="1" applyBorder="1"/>
    <xf numFmtId="37" fontId="8" fillId="0" borderId="8" xfId="0" applyNumberFormat="1" applyFont="1" applyBorder="1"/>
    <xf numFmtId="14" fontId="0" fillId="0" borderId="0" xfId="0" applyNumberFormat="1"/>
    <xf numFmtId="37" fontId="9" fillId="0" borderId="1" xfId="0" applyNumberFormat="1" applyFont="1" applyBorder="1"/>
    <xf numFmtId="37" fontId="12" fillId="0" borderId="0" xfId="0" applyNumberFormat="1" applyFont="1"/>
    <xf numFmtId="0" fontId="0" fillId="0" borderId="0" xfId="0" quotePrefix="1"/>
    <xf numFmtId="0" fontId="0" fillId="0" borderId="1" xfId="0" quotePrefix="1" applyBorder="1"/>
    <xf numFmtId="165" fontId="8" fillId="0" borderId="0" xfId="0" applyNumberFormat="1" applyFont="1"/>
    <xf numFmtId="0" fontId="8" fillId="4" borderId="6" xfId="0" applyFont="1" applyFill="1" applyBorder="1"/>
    <xf numFmtId="10" fontId="8" fillId="4" borderId="8" xfId="0" applyNumberFormat="1" applyFont="1" applyFill="1" applyBorder="1"/>
    <xf numFmtId="0" fontId="6" fillId="0" borderId="10" xfId="0" applyFont="1" applyBorder="1"/>
    <xf numFmtId="0" fontId="16" fillId="2" borderId="0" xfId="0" applyFont="1" applyFill="1"/>
    <xf numFmtId="0" fontId="17" fillId="2" borderId="0" xfId="0" applyFont="1" applyFill="1"/>
    <xf numFmtId="0" fontId="18" fillId="0" borderId="10" xfId="0" applyFont="1" applyBorder="1"/>
    <xf numFmtId="3" fontId="18" fillId="0" borderId="10" xfId="0" applyNumberFormat="1" applyFont="1" applyBorder="1"/>
    <xf numFmtId="0" fontId="18" fillId="0" borderId="0" xfId="0" applyFont="1"/>
    <xf numFmtId="3" fontId="19" fillId="0" borderId="0" xfId="0" applyNumberFormat="1" applyFont="1"/>
    <xf numFmtId="0" fontId="20" fillId="0" borderId="0" xfId="0" applyFont="1" applyAlignment="1">
      <alignment horizontal="right"/>
    </xf>
    <xf numFmtId="0" fontId="19" fillId="0" borderId="0" xfId="0" applyFont="1"/>
    <xf numFmtId="164" fontId="17" fillId="2" borderId="3" xfId="0" applyNumberFormat="1" applyFont="1" applyFill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167" fontId="25" fillId="0" borderId="0" xfId="1" applyNumberFormat="1" applyFont="1" applyAlignment="1">
      <alignment horizontal="right"/>
    </xf>
    <xf numFmtId="0" fontId="17" fillId="2" borderId="3" xfId="0" applyFont="1" applyFill="1" applyBorder="1" applyAlignment="1">
      <alignment horizontal="right"/>
    </xf>
    <xf numFmtId="0" fontId="19" fillId="0" borderId="10" xfId="0" applyFont="1" applyBorder="1"/>
    <xf numFmtId="0" fontId="27" fillId="0" borderId="0" xfId="0" applyFont="1"/>
    <xf numFmtId="167" fontId="28" fillId="0" borderId="0" xfId="1" applyNumberFormat="1" applyFont="1"/>
    <xf numFmtId="3" fontId="19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right"/>
    </xf>
    <xf numFmtId="0" fontId="21" fillId="0" borderId="10" xfId="0" applyFont="1" applyBorder="1"/>
    <xf numFmtId="3" fontId="19" fillId="0" borderId="10" xfId="0" applyNumberFormat="1" applyFont="1" applyBorder="1" applyAlignment="1">
      <alignment horizontal="right"/>
    </xf>
    <xf numFmtId="167" fontId="18" fillId="0" borderId="0" xfId="0" applyNumberFormat="1" applyFont="1" applyAlignment="1">
      <alignment horizontal="right"/>
    </xf>
    <xf numFmtId="0" fontId="29" fillId="0" borderId="0" xfId="0" applyFont="1"/>
    <xf numFmtId="167" fontId="18" fillId="0" borderId="0" xfId="0" applyNumberFormat="1" applyFont="1"/>
    <xf numFmtId="0" fontId="18" fillId="0" borderId="2" xfId="0" applyFont="1" applyBorder="1"/>
    <xf numFmtId="3" fontId="18" fillId="0" borderId="2" xfId="0" applyNumberFormat="1" applyFont="1" applyBorder="1"/>
    <xf numFmtId="0" fontId="18" fillId="4" borderId="7" xfId="0" applyFont="1" applyFill="1" applyBorder="1"/>
    <xf numFmtId="0" fontId="30" fillId="0" borderId="0" xfId="0" applyFont="1"/>
    <xf numFmtId="0" fontId="30" fillId="0" borderId="0" xfId="0" applyFont="1" applyAlignment="1">
      <alignment horizontal="right"/>
    </xf>
    <xf numFmtId="167" fontId="26" fillId="0" borderId="4" xfId="0" applyNumberFormat="1" applyFont="1" applyBorder="1" applyAlignment="1">
      <alignment horizontal="center"/>
    </xf>
    <xf numFmtId="167" fontId="19" fillId="0" borderId="4" xfId="0" applyNumberFormat="1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31" fillId="0" borderId="0" xfId="0" applyFont="1"/>
    <xf numFmtId="167" fontId="32" fillId="0" borderId="4" xfId="0" applyNumberFormat="1" applyFont="1" applyBorder="1" applyAlignment="1">
      <alignment horizontal="center"/>
    </xf>
    <xf numFmtId="167" fontId="25" fillId="0" borderId="0" xfId="1" applyNumberFormat="1" applyFont="1"/>
    <xf numFmtId="3" fontId="9" fillId="3" borderId="11" xfId="0" applyNumberFormat="1" applyFont="1" applyFill="1" applyBorder="1"/>
    <xf numFmtId="167" fontId="33" fillId="0" borderId="0" xfId="1" applyNumberFormat="1" applyFont="1"/>
    <xf numFmtId="167" fontId="11" fillId="3" borderId="0" xfId="1" applyNumberFormat="1" applyFont="1" applyFill="1" applyAlignment="1">
      <alignment horizontal="right"/>
    </xf>
    <xf numFmtId="0" fontId="26" fillId="0" borderId="0" xfId="0" applyFont="1"/>
    <xf numFmtId="3" fontId="26" fillId="0" borderId="0" xfId="0" applyNumberFormat="1" applyFont="1"/>
    <xf numFmtId="167" fontId="25" fillId="0" borderId="3" xfId="1" applyNumberFormat="1" applyFont="1" applyBorder="1"/>
    <xf numFmtId="0" fontId="18" fillId="0" borderId="0" xfId="0" applyFont="1" applyAlignment="1">
      <alignment horizontal="left" indent="1"/>
    </xf>
    <xf numFmtId="10" fontId="25" fillId="0" borderId="0" xfId="1" applyNumberFormat="1" applyFont="1" applyBorder="1"/>
    <xf numFmtId="0" fontId="19" fillId="0" borderId="0" xfId="0" applyFont="1" applyAlignment="1">
      <alignment horizontal="right"/>
    </xf>
    <xf numFmtId="1" fontId="23" fillId="0" borderId="0" xfId="1" applyNumberFormat="1" applyFont="1" applyBorder="1"/>
    <xf numFmtId="1" fontId="18" fillId="0" borderId="0" xfId="0" applyNumberFormat="1" applyFont="1" applyAlignment="1">
      <alignment horizontal="right"/>
    </xf>
    <xf numFmtId="1" fontId="18" fillId="0" borderId="0" xfId="0" applyNumberFormat="1" applyFont="1"/>
    <xf numFmtId="1" fontId="23" fillId="0" borderId="0" xfId="0" applyNumberFormat="1" applyFont="1"/>
    <xf numFmtId="166" fontId="13" fillId="0" borderId="0" xfId="1" applyNumberFormat="1" applyFont="1" applyAlignment="1">
      <alignment horizontal="right"/>
    </xf>
    <xf numFmtId="37" fontId="9" fillId="3" borderId="0" xfId="0" applyNumberFormat="1" applyFont="1" applyFill="1" applyAlignment="1">
      <alignment horizontal="right"/>
    </xf>
    <xf numFmtId="166" fontId="11" fillId="0" borderId="0" xfId="1" applyNumberFormat="1" applyFont="1" applyBorder="1"/>
    <xf numFmtId="0" fontId="34" fillId="0" borderId="0" xfId="0" applyFont="1"/>
    <xf numFmtId="37" fontId="14" fillId="0" borderId="0" xfId="0" applyNumberFormat="1" applyFont="1" applyAlignment="1">
      <alignment horizontal="right"/>
    </xf>
    <xf numFmtId="167" fontId="11" fillId="3" borderId="11" xfId="1" applyNumberFormat="1" applyFont="1" applyFill="1" applyBorder="1"/>
    <xf numFmtId="0" fontId="9" fillId="3" borderId="11" xfId="0" applyFont="1" applyFill="1" applyBorder="1"/>
    <xf numFmtId="0" fontId="0" fillId="0" borderId="11" xfId="0" applyBorder="1"/>
    <xf numFmtId="166" fontId="13" fillId="0" borderId="11" xfId="1" applyNumberFormat="1" applyFont="1" applyBorder="1"/>
    <xf numFmtId="167" fontId="35" fillId="0" borderId="0" xfId="0" applyNumberFormat="1" applyFont="1"/>
    <xf numFmtId="167" fontId="11" fillId="0" borderId="0" xfId="1" applyNumberFormat="1" applyFont="1" applyFill="1" applyBorder="1"/>
    <xf numFmtId="37" fontId="12" fillId="0" borderId="0" xfId="0" applyNumberFormat="1" applyFont="1" applyAlignment="1">
      <alignment horizontal="right"/>
    </xf>
    <xf numFmtId="37" fontId="12" fillId="0" borderId="1" xfId="0" applyNumberFormat="1" applyFont="1" applyBorder="1" applyAlignment="1">
      <alignment horizontal="right"/>
    </xf>
    <xf numFmtId="37" fontId="36" fillId="0" borderId="1" xfId="0" applyNumberFormat="1" applyFont="1" applyBorder="1" applyAlignment="1">
      <alignment horizontal="right"/>
    </xf>
    <xf numFmtId="2" fontId="0" fillId="0" borderId="0" xfId="0" applyNumberFormat="1"/>
    <xf numFmtId="0" fontId="37" fillId="0" borderId="0" xfId="0" applyFont="1" applyAlignment="1">
      <alignment horizontal="left" vertical="center" indent="1"/>
    </xf>
    <xf numFmtId="3" fontId="38" fillId="0" borderId="0" xfId="0" applyNumberFormat="1" applyFont="1"/>
    <xf numFmtId="167" fontId="18" fillId="0" borderId="0" xfId="1" applyNumberFormat="1" applyFont="1" applyBorder="1"/>
    <xf numFmtId="0" fontId="0" fillId="0" borderId="0" xfId="0" applyAlignment="1">
      <alignment horizontal="left" indent="1"/>
    </xf>
    <xf numFmtId="3" fontId="20" fillId="0" borderId="0" xfId="0" applyNumberFormat="1" applyFont="1"/>
    <xf numFmtId="0" fontId="0" fillId="3" borderId="0" xfId="0" applyFill="1"/>
    <xf numFmtId="0" fontId="39" fillId="0" borderId="1" xfId="0" applyFont="1" applyBorder="1"/>
    <xf numFmtId="0" fontId="17" fillId="3" borderId="0" xfId="0" applyFont="1" applyFill="1"/>
    <xf numFmtId="0" fontId="16" fillId="3" borderId="0" xfId="0" applyFont="1" applyFill="1"/>
    <xf numFmtId="3" fontId="21" fillId="0" borderId="0" xfId="0" applyNumberFormat="1" applyFont="1"/>
    <xf numFmtId="0" fontId="6" fillId="0" borderId="0" xfId="0" applyFont="1"/>
    <xf numFmtId="0" fontId="23" fillId="0" borderId="12" xfId="0" applyFont="1" applyBorder="1"/>
    <xf numFmtId="0" fontId="6" fillId="0" borderId="12" xfId="0" applyFont="1" applyBorder="1"/>
    <xf numFmtId="0" fontId="0" fillId="0" borderId="12" xfId="0" applyBorder="1"/>
    <xf numFmtId="168" fontId="6" fillId="0" borderId="12" xfId="0" applyNumberFormat="1" applyFont="1" applyBorder="1"/>
    <xf numFmtId="0" fontId="23" fillId="0" borderId="1" xfId="0" applyFont="1" applyBorder="1"/>
    <xf numFmtId="37" fontId="18" fillId="0" borderId="0" xfId="0" applyNumberFormat="1" applyFont="1"/>
    <xf numFmtId="168" fontId="18" fillId="0" borderId="0" xfId="2" applyNumberFormat="1" applyFont="1"/>
    <xf numFmtId="37" fontId="23" fillId="0" borderId="1" xfId="0" applyNumberFormat="1" applyFont="1" applyBorder="1"/>
    <xf numFmtId="3" fontId="18" fillId="0" borderId="0" xfId="0" applyNumberFormat="1" applyFont="1"/>
    <xf numFmtId="37" fontId="18" fillId="0" borderId="1" xfId="0" applyNumberFormat="1" applyFont="1" applyBorder="1"/>
    <xf numFmtId="0" fontId="23" fillId="0" borderId="13" xfId="0" applyFont="1" applyBorder="1"/>
    <xf numFmtId="0" fontId="18" fillId="0" borderId="13" xfId="0" applyFont="1" applyBorder="1"/>
    <xf numFmtId="164" fontId="23" fillId="0" borderId="13" xfId="0" applyNumberFormat="1" applyFont="1" applyBorder="1"/>
    <xf numFmtId="0" fontId="40" fillId="0" borderId="14" xfId="0" applyFont="1" applyBorder="1"/>
    <xf numFmtId="2" fontId="40" fillId="0" borderId="15" xfId="0" applyNumberFormat="1" applyFont="1" applyBorder="1"/>
    <xf numFmtId="0" fontId="40" fillId="0" borderId="16" xfId="0" applyFont="1" applyBorder="1"/>
    <xf numFmtId="0" fontId="40" fillId="0" borderId="11" xfId="0" applyFont="1" applyBorder="1"/>
    <xf numFmtId="2" fontId="40" fillId="0" borderId="0" xfId="0" applyNumberFormat="1" applyFont="1"/>
    <xf numFmtId="0" fontId="40" fillId="0" borderId="5" xfId="0" applyFont="1" applyBorder="1"/>
    <xf numFmtId="0" fontId="40" fillId="0" borderId="17" xfId="0" applyFont="1" applyBorder="1"/>
    <xf numFmtId="2" fontId="40" fillId="0" borderId="1" xfId="0" applyNumberFormat="1" applyFont="1" applyBorder="1"/>
    <xf numFmtId="0" fontId="40" fillId="0" borderId="9" xfId="0" applyFont="1" applyBorder="1"/>
    <xf numFmtId="0" fontId="23" fillId="0" borderId="0" xfId="0" applyFont="1" applyAlignment="1">
      <alignment horizontal="left" indent="1"/>
    </xf>
    <xf numFmtId="0" fontId="25" fillId="0" borderId="0" xfId="0" applyFont="1"/>
    <xf numFmtId="0" fontId="41" fillId="0" borderId="0" xfId="0" applyFont="1"/>
    <xf numFmtId="0" fontId="25" fillId="0" borderId="0" xfId="0" applyFont="1" applyAlignment="1">
      <alignment horizontal="left" indent="1"/>
    </xf>
    <xf numFmtId="0" fontId="41" fillId="0" borderId="0" xfId="0" applyFont="1" applyAlignment="1">
      <alignment horizontal="left" indent="1"/>
    </xf>
    <xf numFmtId="0" fontId="25" fillId="0" borderId="3" xfId="0" applyFont="1" applyBorder="1" applyAlignment="1">
      <alignment horizontal="left" indent="1"/>
    </xf>
    <xf numFmtId="0" fontId="25" fillId="0" borderId="0" xfId="0" applyFont="1" applyAlignment="1">
      <alignment horizontal="left" indent="2"/>
    </xf>
    <xf numFmtId="0" fontId="25" fillId="0" borderId="0" xfId="0" applyFont="1" applyAlignment="1">
      <alignment horizontal="right"/>
    </xf>
    <xf numFmtId="0" fontId="33" fillId="0" borderId="0" xfId="0" applyFont="1"/>
    <xf numFmtId="3" fontId="33" fillId="0" borderId="0" xfId="0" applyNumberFormat="1" applyFont="1"/>
    <xf numFmtId="168" fontId="25" fillId="0" borderId="0" xfId="2" applyNumberFormat="1" applyFont="1" applyAlignment="1">
      <alignment horizontal="left" indent="3"/>
    </xf>
    <xf numFmtId="3" fontId="25" fillId="0" borderId="0" xfId="0" applyNumberFormat="1" applyFont="1"/>
    <xf numFmtId="168" fontId="25" fillId="0" borderId="0" xfId="2" applyNumberFormat="1" applyFont="1"/>
    <xf numFmtId="0" fontId="17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2" fillId="5" borderId="0" xfId="0" applyFont="1" applyFill="1" applyAlignment="1">
      <alignment horizontal="left" vertical="center"/>
    </xf>
    <xf numFmtId="0" fontId="42" fillId="5" borderId="0" xfId="0" applyFont="1" applyFill="1" applyAlignment="1">
      <alignment horizontal="right" vertical="center"/>
    </xf>
    <xf numFmtId="0" fontId="23" fillId="3" borderId="0" xfId="0" applyFont="1" applyFill="1"/>
    <xf numFmtId="3" fontId="19" fillId="3" borderId="0" xfId="0" applyNumberFormat="1" applyFont="1" applyFill="1" applyAlignment="1">
      <alignment horizontal="right"/>
    </xf>
    <xf numFmtId="0" fontId="42" fillId="3" borderId="0" xfId="0" applyFont="1" applyFill="1" applyAlignment="1">
      <alignment horizontal="right" vertical="center"/>
    </xf>
    <xf numFmtId="169" fontId="44" fillId="0" borderId="0" xfId="0" applyNumberFormat="1" applyFont="1" applyAlignment="1">
      <alignment horizontal="right"/>
    </xf>
    <xf numFmtId="172" fontId="18" fillId="3" borderId="0" xfId="0" applyNumberFormat="1" applyFont="1" applyFill="1" applyAlignment="1">
      <alignment horizontal="right"/>
    </xf>
    <xf numFmtId="172" fontId="19" fillId="3" borderId="0" xfId="0" applyNumberFormat="1" applyFont="1" applyFill="1" applyAlignment="1">
      <alignment horizontal="right"/>
    </xf>
    <xf numFmtId="0" fontId="42" fillId="3" borderId="0" xfId="0" applyFont="1" applyFill="1" applyAlignment="1">
      <alignment horizontal="left" vertical="center"/>
    </xf>
    <xf numFmtId="0" fontId="23" fillId="0" borderId="14" xfId="0" applyFont="1" applyBorder="1"/>
    <xf numFmtId="0" fontId="23" fillId="0" borderId="11" xfId="0" applyFont="1" applyBorder="1"/>
    <xf numFmtId="0" fontId="30" fillId="3" borderId="11" xfId="0" applyFont="1" applyFill="1" applyBorder="1" applyAlignment="1">
      <alignment horizontal="left"/>
    </xf>
    <xf numFmtId="0" fontId="23" fillId="0" borderId="17" xfId="0" applyFont="1" applyBorder="1"/>
    <xf numFmtId="0" fontId="6" fillId="3" borderId="0" xfId="0" applyFont="1" applyFill="1"/>
    <xf numFmtId="0" fontId="23" fillId="3" borderId="1" xfId="0" applyFont="1" applyFill="1" applyBorder="1"/>
    <xf numFmtId="0" fontId="43" fillId="3" borderId="0" xfId="0" applyFont="1" applyFill="1" applyAlignment="1">
      <alignment horizontal="right"/>
    </xf>
    <xf numFmtId="0" fontId="17" fillId="2" borderId="0" xfId="0" applyFont="1" applyFill="1" applyAlignment="1">
      <alignment horizontal="right"/>
    </xf>
    <xf numFmtId="171" fontId="17" fillId="2" borderId="0" xfId="0" applyNumberFormat="1" applyFont="1" applyFill="1" applyAlignment="1">
      <alignment horizontal="right"/>
    </xf>
    <xf numFmtId="0" fontId="42" fillId="5" borderId="11" xfId="0" applyFont="1" applyFill="1" applyBorder="1" applyAlignment="1">
      <alignment horizontal="right" vertical="center"/>
    </xf>
    <xf numFmtId="172" fontId="23" fillId="3" borderId="11" xfId="0" applyNumberFormat="1" applyFont="1" applyFill="1" applyBorder="1" applyAlignment="1">
      <alignment horizontal="right"/>
    </xf>
    <xf numFmtId="3" fontId="45" fillId="0" borderId="0" xfId="0" applyNumberFormat="1" applyFont="1"/>
    <xf numFmtId="3" fontId="45" fillId="0" borderId="1" xfId="0" applyNumberFormat="1" applyFont="1" applyBorder="1"/>
    <xf numFmtId="169" fontId="19" fillId="3" borderId="0" xfId="0" applyNumberFormat="1" applyFont="1" applyFill="1" applyAlignment="1">
      <alignment horizontal="right"/>
    </xf>
    <xf numFmtId="170" fontId="19" fillId="3" borderId="0" xfId="0" applyNumberFormat="1" applyFont="1" applyFill="1" applyAlignment="1">
      <alignment horizontal="right"/>
    </xf>
    <xf numFmtId="171" fontId="19" fillId="3" borderId="0" xfId="0" applyNumberFormat="1" applyFont="1" applyFill="1" applyAlignment="1">
      <alignment horizontal="righ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2" borderId="0" xfId="0" applyFont="1" applyFill="1" applyAlignment="1">
      <alignment horizontal="right"/>
    </xf>
    <xf numFmtId="174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76" fontId="21" fillId="0" borderId="0" xfId="0" applyNumberFormat="1" applyFont="1" applyAlignment="1">
      <alignment horizontal="right"/>
    </xf>
    <xf numFmtId="0" fontId="23" fillId="0" borderId="0" xfId="0" applyFont="1" applyAlignment="1">
      <alignment horizontal="left"/>
    </xf>
    <xf numFmtId="0" fontId="23" fillId="0" borderId="18" xfId="0" applyFont="1" applyBorder="1"/>
    <xf numFmtId="0" fontId="24" fillId="0" borderId="1" xfId="0" applyFont="1" applyBorder="1"/>
    <xf numFmtId="9" fontId="24" fillId="0" borderId="1" xfId="1" applyFont="1" applyBorder="1"/>
    <xf numFmtId="0" fontId="18" fillId="0" borderId="0" xfId="0" applyFont="1" applyAlignment="1">
      <alignment horizontal="left"/>
    </xf>
    <xf numFmtId="168" fontId="23" fillId="0" borderId="0" xfId="0" applyNumberFormat="1" applyFont="1"/>
    <xf numFmtId="175" fontId="23" fillId="0" borderId="18" xfId="0" applyNumberFormat="1" applyFont="1" applyBorder="1"/>
    <xf numFmtId="168" fontId="18" fillId="0" borderId="0" xfId="2" applyNumberFormat="1" applyFont="1" applyAlignment="1">
      <alignment horizontal="right"/>
    </xf>
    <xf numFmtId="168" fontId="18" fillId="0" borderId="0" xfId="2" applyNumberFormat="1" applyFont="1" applyBorder="1" applyAlignment="1">
      <alignment horizontal="right"/>
    </xf>
    <xf numFmtId="0" fontId="47" fillId="5" borderId="0" xfId="0" applyFont="1" applyFill="1" applyAlignment="1">
      <alignment horizontal="right"/>
    </xf>
    <xf numFmtId="0" fontId="43" fillId="0" borderId="0" xfId="0" applyFont="1" applyAlignment="1">
      <alignment horizontal="right"/>
    </xf>
    <xf numFmtId="0" fontId="16" fillId="3" borderId="0" xfId="0" applyFont="1" applyFill="1" applyAlignment="1">
      <alignment horizontal="right"/>
    </xf>
    <xf numFmtId="173" fontId="18" fillId="0" borderId="0" xfId="0" applyNumberFormat="1" applyFont="1" applyAlignment="1">
      <alignment horizontal="right"/>
    </xf>
    <xf numFmtId="0" fontId="46" fillId="3" borderId="0" xfId="0" applyFont="1" applyFill="1" applyAlignment="1">
      <alignment horizontal="right"/>
    </xf>
    <xf numFmtId="0" fontId="23" fillId="6" borderId="0" xfId="0" applyFont="1" applyFill="1"/>
    <xf numFmtId="173" fontId="18" fillId="6" borderId="0" xfId="0" applyNumberFormat="1" applyFont="1" applyFill="1" applyAlignment="1">
      <alignment horizontal="right"/>
    </xf>
    <xf numFmtId="173" fontId="48" fillId="0" borderId="1" xfId="0" applyNumberFormat="1" applyFont="1" applyBorder="1"/>
    <xf numFmtId="173" fontId="23" fillId="0" borderId="0" xfId="0" applyNumberFormat="1" applyFont="1"/>
    <xf numFmtId="173" fontId="23" fillId="0" borderId="1" xfId="0" applyNumberFormat="1" applyFont="1" applyBorder="1"/>
    <xf numFmtId="0" fontId="23" fillId="6" borderId="13" xfId="0" applyFont="1" applyFill="1" applyBorder="1"/>
    <xf numFmtId="0" fontId="6" fillId="6" borderId="13" xfId="0" applyFont="1" applyFill="1" applyBorder="1" applyAlignment="1">
      <alignment horizontal="right"/>
    </xf>
    <xf numFmtId="173" fontId="23" fillId="6" borderId="13" xfId="0" applyNumberFormat="1" applyFont="1" applyFill="1" applyBorder="1"/>
    <xf numFmtId="0" fontId="48" fillId="0" borderId="1" xfId="0" applyFont="1" applyBorder="1"/>
    <xf numFmtId="0" fontId="25" fillId="0" borderId="1" xfId="0" applyFont="1" applyBorder="1" applyAlignment="1">
      <alignment horizontal="right"/>
    </xf>
    <xf numFmtId="169" fontId="33" fillId="0" borderId="1" xfId="0" applyNumberFormat="1" applyFont="1" applyBorder="1"/>
    <xf numFmtId="3" fontId="25" fillId="0" borderId="1" xfId="0" applyNumberFormat="1" applyFont="1" applyBorder="1"/>
    <xf numFmtId="172" fontId="25" fillId="0" borderId="1" xfId="0" applyNumberFormat="1" applyFont="1" applyBorder="1" applyAlignment="1">
      <alignment horizontal="right"/>
    </xf>
    <xf numFmtId="3" fontId="33" fillId="0" borderId="1" xfId="0" applyNumberFormat="1" applyFont="1" applyBorder="1"/>
    <xf numFmtId="0" fontId="50" fillId="0" borderId="0" xfId="0" applyFont="1" applyAlignment="1">
      <alignment vertical="center"/>
    </xf>
    <xf numFmtId="3" fontId="51" fillId="0" borderId="1" xfId="0" applyNumberFormat="1" applyFont="1" applyBorder="1" applyAlignment="1">
      <alignment horizontal="right"/>
    </xf>
    <xf numFmtId="3" fontId="52" fillId="0" borderId="1" xfId="0" applyNumberFormat="1" applyFont="1" applyBorder="1"/>
    <xf numFmtId="168" fontId="53" fillId="0" borderId="0" xfId="0" applyNumberFormat="1" applyFont="1"/>
    <xf numFmtId="0" fontId="54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55" fillId="0" borderId="0" xfId="0" applyFont="1"/>
    <xf numFmtId="176" fontId="26" fillId="0" borderId="0" xfId="0" applyNumberFormat="1" applyFont="1" applyAlignment="1">
      <alignment horizontal="right"/>
    </xf>
    <xf numFmtId="172" fontId="56" fillId="0" borderId="17" xfId="0" applyNumberFormat="1" applyFont="1" applyBorder="1"/>
    <xf numFmtId="2" fontId="57" fillId="0" borderId="16" xfId="0" applyNumberFormat="1" applyFont="1" applyBorder="1"/>
    <xf numFmtId="2" fontId="57" fillId="0" borderId="5" xfId="0" applyNumberFormat="1" applyFont="1" applyBorder="1"/>
    <xf numFmtId="2" fontId="57" fillId="0" borderId="9" xfId="0" applyNumberFormat="1" applyFont="1" applyBorder="1"/>
    <xf numFmtId="3" fontId="58" fillId="0" borderId="0" xfId="0" applyNumberFormat="1" applyFont="1"/>
    <xf numFmtId="0" fontId="49" fillId="0" borderId="19" xfId="0" applyFont="1" applyBorder="1"/>
    <xf numFmtId="0" fontId="49" fillId="0" borderId="20" xfId="0" applyFont="1" applyBorder="1"/>
    <xf numFmtId="0" fontId="49" fillId="0" borderId="21" xfId="0" applyFont="1" applyBorder="1"/>
    <xf numFmtId="3" fontId="49" fillId="0" borderId="22" xfId="0" applyNumberFormat="1" applyFont="1" applyBorder="1"/>
    <xf numFmtId="0" fontId="49" fillId="0" borderId="23" xfId="0" applyFont="1" applyBorder="1"/>
    <xf numFmtId="3" fontId="49" fillId="0" borderId="24" xfId="0" applyNumberFormat="1" applyFont="1" applyBorder="1"/>
    <xf numFmtId="177" fontId="0" fillId="0" borderId="0" xfId="0" applyNumberFormat="1"/>
    <xf numFmtId="168" fontId="18" fillId="6" borderId="0" xfId="2" applyNumberFormat="1" applyFont="1" applyFill="1" applyAlignment="1">
      <alignment horizontal="right"/>
    </xf>
    <xf numFmtId="175" fontId="59" fillId="0" borderId="0" xfId="1" applyNumberFormat="1" applyFont="1" applyBorder="1"/>
    <xf numFmtId="175" fontId="23" fillId="0" borderId="0" xfId="0" applyNumberFormat="1" applyFont="1"/>
    <xf numFmtId="0" fontId="24" fillId="0" borderId="14" xfId="0" applyFont="1" applyBorder="1"/>
    <xf numFmtId="164" fontId="24" fillId="0" borderId="16" xfId="0" applyNumberFormat="1" applyFont="1" applyBorder="1"/>
    <xf numFmtId="0" fontId="24" fillId="0" borderId="11" xfId="0" applyFont="1" applyBorder="1"/>
    <xf numFmtId="164" fontId="24" fillId="0" borderId="5" xfId="0" applyNumberFormat="1" applyFont="1" applyBorder="1"/>
    <xf numFmtId="0" fontId="24" fillId="0" borderId="17" xfId="0" applyFont="1" applyBorder="1"/>
    <xf numFmtId="164" fontId="24" fillId="0" borderId="9" xfId="0" applyNumberFormat="1" applyFont="1" applyBorder="1"/>
    <xf numFmtId="0" fontId="18" fillId="0" borderId="1" xfId="0" applyFont="1" applyBorder="1" applyAlignment="1">
      <alignment horizontal="left"/>
    </xf>
    <xf numFmtId="175" fontId="40" fillId="0" borderId="16" xfId="0" applyNumberFormat="1" applyFont="1" applyBorder="1"/>
    <xf numFmtId="175" fontId="40" fillId="0" borderId="5" xfId="0" applyNumberFormat="1" applyFont="1" applyBorder="1"/>
    <xf numFmtId="175" fontId="40" fillId="0" borderId="9" xfId="0" applyNumberFormat="1" applyFont="1" applyBorder="1"/>
    <xf numFmtId="0" fontId="17" fillId="3" borderId="0" xfId="0" applyFont="1" applyFill="1" applyAlignment="1">
      <alignment horizontal="right"/>
    </xf>
    <xf numFmtId="0" fontId="23" fillId="0" borderId="14" xfId="0" applyFont="1" applyBorder="1" applyAlignment="1">
      <alignment horizontal="left"/>
    </xf>
    <xf numFmtId="3" fontId="23" fillId="0" borderId="16" xfId="0" applyNumberFormat="1" applyFont="1" applyBorder="1" applyAlignment="1">
      <alignment horizontal="right"/>
    </xf>
    <xf numFmtId="0" fontId="23" fillId="0" borderId="11" xfId="0" applyFont="1" applyBorder="1" applyAlignment="1">
      <alignment horizontal="left"/>
    </xf>
    <xf numFmtId="3" fontId="23" fillId="0" borderId="5" xfId="0" applyNumberFormat="1" applyFont="1" applyBorder="1" applyAlignment="1">
      <alignment horizontal="right"/>
    </xf>
    <xf numFmtId="168" fontId="23" fillId="0" borderId="9" xfId="0" applyNumberFormat="1" applyFont="1" applyBorder="1" applyAlignment="1">
      <alignment horizontal="right"/>
    </xf>
    <xf numFmtId="0" fontId="17" fillId="2" borderId="0" xfId="0" applyFont="1" applyFill="1" applyAlignment="1">
      <alignment horizontal="left"/>
    </xf>
    <xf numFmtId="175" fontId="21" fillId="0" borderId="0" xfId="0" applyNumberFormat="1" applyFont="1"/>
    <xf numFmtId="2" fontId="21" fillId="0" borderId="0" xfId="0" applyNumberFormat="1" applyFont="1"/>
    <xf numFmtId="0" fontId="0" fillId="0" borderId="8" xfId="0" applyBorder="1"/>
    <xf numFmtId="0" fontId="23" fillId="0" borderId="25" xfId="0" applyFont="1" applyBorder="1" applyAlignment="1">
      <alignment vertical="center"/>
    </xf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167" fontId="0" fillId="0" borderId="0" xfId="1" applyNumberFormat="1" applyFont="1"/>
    <xf numFmtId="0" fontId="23" fillId="0" borderId="25" xfId="0" applyFont="1" applyBorder="1" applyAlignment="1">
      <alignment horizontal="left" vertical="top" wrapText="1"/>
    </xf>
    <xf numFmtId="175" fontId="58" fillId="0" borderId="0" xfId="0" applyNumberFormat="1" applyFont="1"/>
    <xf numFmtId="175" fontId="58" fillId="0" borderId="0" xfId="0" applyNumberFormat="1" applyFont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Football Field 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94313210848643"/>
          <c:y val="0.20099555263925342"/>
          <c:w val="0.7412443132108486"/>
          <c:h val="0.691975430154563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'12_Football Fields'!$H$5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'12_Football Fields'!$G$6:$G$8</c:f>
              <c:strCache>
                <c:ptCount val="3"/>
                <c:pt idx="0">
                  <c:v>Trading Comps</c:v>
                </c:pt>
                <c:pt idx="1">
                  <c:v>SOTP</c:v>
                </c:pt>
                <c:pt idx="2">
                  <c:v>Precedents</c:v>
                </c:pt>
              </c:strCache>
            </c:strRef>
          </c:cat>
          <c:val>
            <c:numRef>
              <c:f>'12_Football Fields'!$H$6:$H$8</c:f>
              <c:numCache>
                <c:formatCode>#,##0.00\ "€"</c:formatCode>
                <c:ptCount val="3"/>
                <c:pt idx="0">
                  <c:v>24.810314303525221</c:v>
                </c:pt>
                <c:pt idx="1">
                  <c:v>37.016114329739132</c:v>
                </c:pt>
                <c:pt idx="2">
                  <c:v>33.369294899738449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0-4299-99E9-713D21A788D1}"/>
            </c:ext>
          </c:extLst>
        </c:ser>
        <c:ser>
          <c:idx val="1"/>
          <c:order val="1"/>
          <c:tx>
            <c:strRef>
              <c:f>'12_Football Fields'!$I$5</c:f>
              <c:strCache>
                <c:ptCount val="1"/>
                <c:pt idx="0">
                  <c:v>Width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'12_Football Fields'!$G$6:$G$8</c:f>
              <c:strCache>
                <c:ptCount val="3"/>
                <c:pt idx="0">
                  <c:v>Trading Comps</c:v>
                </c:pt>
                <c:pt idx="1">
                  <c:v>SOTP</c:v>
                </c:pt>
                <c:pt idx="2">
                  <c:v>Precedents</c:v>
                </c:pt>
              </c:strCache>
            </c:strRef>
          </c:cat>
          <c:val>
            <c:numRef>
              <c:f>'12_Football Fields'!$I$6:$I$8</c:f>
              <c:numCache>
                <c:formatCode>0.00</c:formatCode>
                <c:ptCount val="3"/>
                <c:pt idx="0">
                  <c:v>6.2182048340198612</c:v>
                </c:pt>
                <c:pt idx="1">
                  <c:v>8.2258031843864714</c:v>
                </c:pt>
                <c:pt idx="2">
                  <c:v>13.476923120283807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0-4299-99E9-713D21A78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136856"/>
        <c:axId val="609136136"/>
      </c:barChart>
      <c:catAx>
        <c:axId val="609136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36136"/>
        <c:crosses val="autoZero"/>
        <c:auto val="1"/>
        <c:lblAlgn val="ctr"/>
        <c:lblOffset val="100"/>
        <c:noMultiLvlLbl val="0"/>
      </c:catAx>
      <c:valAx>
        <c:axId val="60913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36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119060</xdr:colOff>
      <xdr:row>9</xdr:row>
      <xdr:rowOff>185736</xdr:rowOff>
    </xdr:from>
    <xdr:to>
      <xdr:col>5</xdr:col>
      <xdr:colOff>1200149</xdr:colOff>
      <xdr:row>30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71448-3BC7-10D8-0329-13E429DF2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12</xdr:row>
      <xdr:rowOff>66675</xdr:rowOff>
    </xdr:from>
    <xdr:to>
      <xdr:col>6</xdr:col>
      <xdr:colOff>400050</xdr:colOff>
      <xdr:row>15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4CAD1B0-8D99-80C8-DE73-7BCB4D2C1DAB}"/>
            </a:ext>
          </a:extLst>
        </xdr:cNvPr>
        <xdr:cNvCxnSpPr/>
      </xdr:nvCxnSpPr>
      <xdr:spPr>
        <a:xfrm flipH="1">
          <a:off x="4257675" y="2533650"/>
          <a:ext cx="2752725" cy="590550"/>
        </a:xfrm>
        <a:prstGeom prst="straightConnector1">
          <a:avLst/>
        </a:prstGeom>
        <a:ln w="31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0.59063</cdr:x>
      <cdr:y>0.21354</cdr:y>
    </cdr:from>
    <cdr:to>
      <cdr:x>0.59063</cdr:x>
      <cdr:y>0.88021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BA9D61C6-BB8C-4C81-A31C-F4819A8E0162}"/>
            </a:ext>
          </a:extLst>
        </cdr:cNvPr>
        <cdr:cNvCxnSpPr/>
      </cdr:nvCxnSpPr>
      <cdr:spPr>
        <a:xfrm xmlns:a="http://schemas.openxmlformats.org/drawingml/2006/main">
          <a:off x="2700338" y="585788"/>
          <a:ext cx="0" cy="182880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rgbClr val="C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F97CCD-2EC6-4A76-BF27-40EC0992E7A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1a18660-7bae-4a91-a6b3-949b91946350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5A2E-D13E-4A24-A01F-B0401759B25A}">
  <dimension ref="B2:E10"/>
  <sheetViews>
    <sheetView showGridLines="0" tabSelected="1" workbookViewId="0"/>
  </sheetViews>
  <sheetFormatPr defaultRowHeight="15.75" x14ac:dyDescent="0.25"/>
  <cols>
    <col min="1" max="1" width="4.5" customWidth="1"/>
  </cols>
  <sheetData>
    <row r="2" spans="2:5" s="3" customFormat="1" ht="28.5" x14ac:dyDescent="0.45">
      <c r="B2" s="228" t="s">
        <v>0</v>
      </c>
    </row>
    <row r="3" spans="2:5" ht="18" customHeight="1" x14ac:dyDescent="0.25">
      <c r="B3" s="229" t="s">
        <v>1</v>
      </c>
      <c r="C3" s="230"/>
      <c r="D3" s="1"/>
    </row>
    <row r="4" spans="2:5" ht="18" customHeight="1" x14ac:dyDescent="0.4">
      <c r="B4" s="9" t="s">
        <v>188</v>
      </c>
      <c r="C4" s="2"/>
      <c r="D4" s="2"/>
      <c r="E4" s="2"/>
    </row>
    <row r="6" spans="2:5" x14ac:dyDescent="0.25">
      <c r="B6" s="231" t="s">
        <v>189</v>
      </c>
    </row>
    <row r="7" spans="2:5" x14ac:dyDescent="0.25">
      <c r="B7" s="231" t="s">
        <v>2</v>
      </c>
    </row>
    <row r="8" spans="2:5" x14ac:dyDescent="0.25">
      <c r="B8" s="231" t="s">
        <v>3</v>
      </c>
    </row>
    <row r="9" spans="2:5" x14ac:dyDescent="0.25">
      <c r="B9" s="231" t="s">
        <v>4</v>
      </c>
    </row>
    <row r="10" spans="2:5" x14ac:dyDescent="0.25">
      <c r="B10" s="23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77F3-39B7-4303-834A-34E63A4F3FCA}">
  <dimension ref="A2:G23"/>
  <sheetViews>
    <sheetView showGridLines="0" workbookViewId="0"/>
  </sheetViews>
  <sheetFormatPr defaultRowHeight="15.75" x14ac:dyDescent="0.25"/>
  <cols>
    <col min="1" max="1" width="6.25" customWidth="1"/>
    <col min="2" max="2" width="18.125" customWidth="1"/>
    <col min="3" max="7" width="16.625" customWidth="1"/>
  </cols>
  <sheetData>
    <row r="2" spans="1:7" s="3" customFormat="1" ht="24" x14ac:dyDescent="0.4">
      <c r="B2" s="4" t="s">
        <v>6</v>
      </c>
    </row>
    <row r="4" spans="1:7" x14ac:dyDescent="0.25">
      <c r="B4" s="64" t="s">
        <v>13</v>
      </c>
    </row>
    <row r="5" spans="1:7" ht="15.95" customHeight="1" x14ac:dyDescent="0.25">
      <c r="A5" t="s">
        <v>20</v>
      </c>
      <c r="B5" s="60" t="s">
        <v>70</v>
      </c>
      <c r="C5" s="66">
        <v>2021</v>
      </c>
      <c r="D5" s="66">
        <v>2022</v>
      </c>
      <c r="E5" s="66">
        <v>2023</v>
      </c>
      <c r="F5" s="66">
        <v>2024</v>
      </c>
      <c r="G5" s="66">
        <v>2025</v>
      </c>
    </row>
    <row r="6" spans="1:7" ht="15.95" customHeight="1" x14ac:dyDescent="0.25">
      <c r="B6" s="72" t="s">
        <v>7</v>
      </c>
      <c r="C6" s="73">
        <v>107610</v>
      </c>
      <c r="D6" s="73">
        <v>114197</v>
      </c>
      <c r="E6" s="73">
        <v>111970</v>
      </c>
      <c r="F6" s="73">
        <v>115769</v>
      </c>
      <c r="G6" s="73">
        <v>119081</v>
      </c>
    </row>
    <row r="7" spans="1:7" ht="15.95" customHeight="1" x14ac:dyDescent="0.25">
      <c r="B7" s="61" t="s">
        <v>61</v>
      </c>
      <c r="C7" s="70">
        <v>37330</v>
      </c>
      <c r="D7" s="70">
        <v>40208</v>
      </c>
      <c r="E7" s="70">
        <v>40497</v>
      </c>
      <c r="F7" s="70">
        <v>43021</v>
      </c>
      <c r="G7" s="70">
        <v>44244</v>
      </c>
    </row>
    <row r="8" spans="1:7" ht="15.95" customHeight="1" x14ac:dyDescent="0.25">
      <c r="B8" s="150" t="s">
        <v>15</v>
      </c>
      <c r="C8" s="65">
        <f>C7/C6</f>
        <v>0.3469008456463154</v>
      </c>
      <c r="D8" s="65">
        <f t="shared" ref="D8:G8" si="0">D7/D6</f>
        <v>0.35209331243377673</v>
      </c>
      <c r="E8" s="65">
        <f t="shared" si="0"/>
        <v>0.36167723497365367</v>
      </c>
      <c r="F8" s="65">
        <f t="shared" si="0"/>
        <v>0.37161070752964959</v>
      </c>
      <c r="G8" s="65">
        <f t="shared" si="0"/>
        <v>0.37154541866460644</v>
      </c>
    </row>
    <row r="9" spans="1:7" ht="15.95" customHeight="1" x14ac:dyDescent="0.25">
      <c r="B9" s="61" t="s">
        <v>14</v>
      </c>
      <c r="C9" s="70">
        <v>27091</v>
      </c>
      <c r="D9" s="70">
        <v>27635</v>
      </c>
      <c r="E9" s="70">
        <v>23975</v>
      </c>
      <c r="F9" s="70">
        <v>24027</v>
      </c>
      <c r="G9" s="70">
        <v>24009</v>
      </c>
    </row>
    <row r="10" spans="1:7" ht="15.95" customHeight="1" x14ac:dyDescent="0.25">
      <c r="B10" s="61" t="s">
        <v>8</v>
      </c>
      <c r="C10" s="70">
        <v>12580</v>
      </c>
      <c r="D10" s="70">
        <v>15414</v>
      </c>
      <c r="E10" s="70">
        <v>20798</v>
      </c>
      <c r="F10" s="70">
        <v>26277</v>
      </c>
      <c r="G10" s="70">
        <v>24822</v>
      </c>
    </row>
    <row r="11" spans="1:7" ht="15.95" customHeight="1" x14ac:dyDescent="0.25">
      <c r="B11" s="150" t="s">
        <v>16</v>
      </c>
      <c r="C11" s="65">
        <f>C10/C6</f>
        <v>0.11690363349131122</v>
      </c>
      <c r="D11" s="65">
        <f t="shared" ref="D11:G11" si="1">D10/D6</f>
        <v>0.13497727611058083</v>
      </c>
      <c r="E11" s="65">
        <f t="shared" si="1"/>
        <v>0.18574618201303922</v>
      </c>
      <c r="F11" s="65">
        <f t="shared" si="1"/>
        <v>0.22697786108543738</v>
      </c>
      <c r="G11" s="65">
        <f t="shared" si="1"/>
        <v>0.20844635164299929</v>
      </c>
    </row>
    <row r="12" spans="1:7" ht="15.95" customHeight="1" x14ac:dyDescent="0.25">
      <c r="B12" s="61" t="s">
        <v>9</v>
      </c>
      <c r="C12" s="70">
        <v>4176</v>
      </c>
      <c r="D12" s="70">
        <v>8001</v>
      </c>
      <c r="E12" s="70">
        <v>17788</v>
      </c>
      <c r="F12" s="70">
        <v>11209</v>
      </c>
      <c r="G12" s="70">
        <v>9609</v>
      </c>
    </row>
    <row r="13" spans="1:7" ht="15.95" customHeight="1" x14ac:dyDescent="0.25">
      <c r="B13" s="150" t="s">
        <v>17</v>
      </c>
      <c r="C13" s="65">
        <f>C12/C6</f>
        <v>3.8806802341789799E-2</v>
      </c>
      <c r="D13" s="65">
        <f t="shared" ref="D13:G13" si="2">D12/D6</f>
        <v>7.0063136509715671E-2</v>
      </c>
      <c r="E13" s="65">
        <f t="shared" si="2"/>
        <v>0.15886398142359562</v>
      </c>
      <c r="F13" s="65">
        <f t="shared" si="2"/>
        <v>9.6822119911202487E-2</v>
      </c>
      <c r="G13" s="65">
        <f t="shared" si="2"/>
        <v>8.0692973690177278E-2</v>
      </c>
    </row>
    <row r="14" spans="1:7" ht="15.95" customHeight="1" x14ac:dyDescent="0.25">
      <c r="B14" s="61" t="s">
        <v>10</v>
      </c>
      <c r="C14" s="70">
        <v>-26366</v>
      </c>
      <c r="D14" s="70">
        <v>-24114</v>
      </c>
      <c r="E14" s="70">
        <v>-17866</v>
      </c>
      <c r="F14" s="70">
        <v>-19171</v>
      </c>
      <c r="G14" s="70">
        <v>-19256</v>
      </c>
    </row>
    <row r="15" spans="1:7" ht="15.95" customHeight="1" x14ac:dyDescent="0.25">
      <c r="B15" s="150" t="s">
        <v>18</v>
      </c>
      <c r="C15" s="65">
        <f>C14/C6</f>
        <v>-0.24501440386581172</v>
      </c>
      <c r="D15" s="65">
        <f t="shared" ref="D15:G15" si="3">D14/D6</f>
        <v>-0.21116141404765448</v>
      </c>
      <c r="E15" s="65">
        <f t="shared" si="3"/>
        <v>-0.15956059658837188</v>
      </c>
      <c r="F15" s="65">
        <f t="shared" si="3"/>
        <v>-0.1655970078345671</v>
      </c>
      <c r="G15" s="65">
        <f t="shared" si="3"/>
        <v>-0.16170505790176434</v>
      </c>
    </row>
    <row r="16" spans="1:7" ht="15.95" customHeight="1" x14ac:dyDescent="0.25">
      <c r="B16" s="61" t="s">
        <v>11</v>
      </c>
      <c r="C16" s="70">
        <v>8810</v>
      </c>
      <c r="D16" s="70">
        <v>11470</v>
      </c>
      <c r="E16" s="70">
        <v>16141</v>
      </c>
      <c r="F16" s="70">
        <v>19156</v>
      </c>
      <c r="G16" s="70">
        <v>19546</v>
      </c>
    </row>
    <row r="17" spans="2:7" ht="15.95" customHeight="1" x14ac:dyDescent="0.25">
      <c r="B17" s="150" t="s">
        <v>19</v>
      </c>
      <c r="C17" s="71">
        <f>C16/C6</f>
        <v>8.1869714710528757E-2</v>
      </c>
      <c r="D17" s="71">
        <f t="shared" ref="D17:G17" si="4">D16/D6</f>
        <v>0.10044046691244078</v>
      </c>
      <c r="E17" s="71">
        <f t="shared" si="4"/>
        <v>0.14415468429043493</v>
      </c>
      <c r="F17" s="71">
        <f t="shared" si="4"/>
        <v>0.16546743946997902</v>
      </c>
      <c r="G17" s="71">
        <f t="shared" si="4"/>
        <v>0.1641403750388391</v>
      </c>
    </row>
    <row r="18" spans="2:7" ht="15.95" customHeight="1" x14ac:dyDescent="0.25">
      <c r="B18" s="61" t="s">
        <v>12</v>
      </c>
      <c r="C18" s="70">
        <v>100649</v>
      </c>
      <c r="D18" s="70">
        <v>103733</v>
      </c>
      <c r="E18" s="70">
        <v>93746</v>
      </c>
      <c r="F18" s="70">
        <v>99316</v>
      </c>
      <c r="G18" s="70">
        <v>98067</v>
      </c>
    </row>
    <row r="19" spans="2:7" x14ac:dyDescent="0.25">
      <c r="B19" s="5"/>
    </row>
    <row r="23" spans="2:7" x14ac:dyDescent="0.25">
      <c r="B23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70E4-6339-4765-B9D8-EA75076830DF}">
  <dimension ref="A2:J64"/>
  <sheetViews>
    <sheetView showGridLines="0" zoomScaleNormal="100" workbookViewId="0"/>
  </sheetViews>
  <sheetFormatPr defaultRowHeight="15.75" x14ac:dyDescent="0.25"/>
  <cols>
    <col min="1" max="1" width="4.625" customWidth="1"/>
    <col min="2" max="2" width="19.5" customWidth="1"/>
    <col min="3" max="7" width="16.625" customWidth="1"/>
    <col min="9" max="9" width="17.375" customWidth="1"/>
  </cols>
  <sheetData>
    <row r="2" spans="1:10" s="3" customFormat="1" ht="24" x14ac:dyDescent="0.4">
      <c r="B2" s="4" t="s">
        <v>67</v>
      </c>
    </row>
    <row r="4" spans="1:10" ht="16.5" thickBot="1" x14ac:dyDescent="0.3">
      <c r="B4" s="64" t="s">
        <v>13</v>
      </c>
    </row>
    <row r="5" spans="1:10" x14ac:dyDescent="0.25">
      <c r="A5" t="s">
        <v>20</v>
      </c>
      <c r="B5" s="52" t="s">
        <v>67</v>
      </c>
      <c r="C5" s="53">
        <v>2021</v>
      </c>
      <c r="D5" s="53">
        <v>2022</v>
      </c>
      <c r="E5" s="53">
        <v>2023</v>
      </c>
      <c r="F5" s="53">
        <v>2024</v>
      </c>
      <c r="G5" s="53">
        <v>2025</v>
      </c>
      <c r="I5" s="238" t="s">
        <v>187</v>
      </c>
      <c r="J5" s="239"/>
    </row>
    <row r="6" spans="1:10" x14ac:dyDescent="0.25">
      <c r="B6" s="51" t="s">
        <v>60</v>
      </c>
      <c r="C6" s="54"/>
      <c r="D6" s="54"/>
      <c r="E6" s="55"/>
      <c r="F6" s="54"/>
      <c r="G6" s="54"/>
      <c r="I6" s="240" t="s">
        <v>190</v>
      </c>
      <c r="J6" s="241">
        <f>G7+G18+G29</f>
        <v>42365</v>
      </c>
    </row>
    <row r="7" spans="1:10" x14ac:dyDescent="0.25">
      <c r="B7" s="56" t="s">
        <v>26</v>
      </c>
      <c r="C7" s="57">
        <v>24050</v>
      </c>
      <c r="D7" s="57">
        <v>24505</v>
      </c>
      <c r="E7" s="57">
        <v>25187</v>
      </c>
      <c r="F7" s="57">
        <v>25711</v>
      </c>
      <c r="G7" s="57">
        <v>25610</v>
      </c>
      <c r="I7" s="240" t="s">
        <v>191</v>
      </c>
      <c r="J7" s="241">
        <f>G9+G20+G31</f>
        <v>15798</v>
      </c>
    </row>
    <row r="8" spans="1:10" ht="16.5" thickBot="1" x14ac:dyDescent="0.3">
      <c r="B8" s="152" t="s">
        <v>65</v>
      </c>
      <c r="C8" s="58" t="s">
        <v>68</v>
      </c>
      <c r="D8" s="69">
        <f>D7/C7-1</f>
        <v>1.8918918918918948E-2</v>
      </c>
      <c r="E8" s="69">
        <f t="shared" ref="E8:G8" si="0">E7/D7-1</f>
        <v>2.7831054886757745E-2</v>
      </c>
      <c r="F8" s="69">
        <f t="shared" si="0"/>
        <v>2.0804383213562483E-2</v>
      </c>
      <c r="G8" s="69">
        <f t="shared" si="0"/>
        <v>-3.9282797246315004E-3</v>
      </c>
      <c r="I8" s="242" t="s">
        <v>192</v>
      </c>
      <c r="J8" s="243">
        <f>G11+G22+G33</f>
        <v>8519</v>
      </c>
    </row>
    <row r="9" spans="1:10" x14ac:dyDescent="0.25">
      <c r="B9" s="56" t="s">
        <v>61</v>
      </c>
      <c r="C9" s="57">
        <v>9536</v>
      </c>
      <c r="D9" s="57">
        <v>9837</v>
      </c>
      <c r="E9" s="57">
        <v>10238</v>
      </c>
      <c r="F9" s="57">
        <v>10516</v>
      </c>
      <c r="G9" s="57">
        <v>10694</v>
      </c>
    </row>
    <row r="10" spans="1:10" x14ac:dyDescent="0.25">
      <c r="B10" s="152" t="s">
        <v>15</v>
      </c>
      <c r="C10" s="69">
        <f>C9/C7</f>
        <v>0.39650727650727652</v>
      </c>
      <c r="D10" s="69">
        <f t="shared" ref="D10:G10" si="1">D9/D7</f>
        <v>0.40142827994286878</v>
      </c>
      <c r="E10" s="69">
        <f t="shared" si="1"/>
        <v>0.40647953309246831</v>
      </c>
      <c r="F10" s="69">
        <f t="shared" si="1"/>
        <v>0.40900781766559058</v>
      </c>
      <c r="G10" s="69">
        <f t="shared" si="1"/>
        <v>0.41757126122608357</v>
      </c>
    </row>
    <row r="11" spans="1:10" x14ac:dyDescent="0.25">
      <c r="B11" s="56" t="s">
        <v>28</v>
      </c>
      <c r="C11" s="120">
        <f>C9-C13</f>
        <v>5530</v>
      </c>
      <c r="D11" s="120">
        <f t="shared" ref="D11:G11" si="2">D9-D13</f>
        <v>5832</v>
      </c>
      <c r="E11" s="120">
        <f t="shared" si="2"/>
        <v>6027</v>
      </c>
      <c r="F11" s="120">
        <f t="shared" si="2"/>
        <v>6137</v>
      </c>
      <c r="G11" s="120">
        <f t="shared" si="2"/>
        <v>6214</v>
      </c>
      <c r="J11" s="57"/>
    </row>
    <row r="12" spans="1:10" x14ac:dyDescent="0.25">
      <c r="B12" s="152" t="s">
        <v>16</v>
      </c>
      <c r="C12" s="87">
        <f>C11/C7</f>
        <v>0.22993762993762995</v>
      </c>
      <c r="D12" s="87">
        <f t="shared" ref="D12:G12" si="3">D11/D7</f>
        <v>0.23799224648031014</v>
      </c>
      <c r="E12" s="87">
        <f t="shared" si="3"/>
        <v>0.23929010997736927</v>
      </c>
      <c r="F12" s="87">
        <f t="shared" si="3"/>
        <v>0.2386916105946871</v>
      </c>
      <c r="G12" s="87">
        <f t="shared" si="3"/>
        <v>0.24263959390862944</v>
      </c>
    </row>
    <row r="13" spans="1:10" x14ac:dyDescent="0.25">
      <c r="B13" s="56" t="s">
        <v>33</v>
      </c>
      <c r="C13" s="57">
        <v>4006</v>
      </c>
      <c r="D13" s="57">
        <v>4005</v>
      </c>
      <c r="E13" s="57">
        <v>4211</v>
      </c>
      <c r="F13" s="57">
        <v>4379</v>
      </c>
      <c r="G13" s="57">
        <v>4480</v>
      </c>
    </row>
    <row r="14" spans="1:10" x14ac:dyDescent="0.25">
      <c r="B14" s="152" t="s">
        <v>79</v>
      </c>
      <c r="C14" s="87">
        <f>C13/C7</f>
        <v>0.16656964656964657</v>
      </c>
      <c r="D14" s="87">
        <f t="shared" ref="D14:G14" si="4">D13/D7</f>
        <v>0.16343603346255867</v>
      </c>
      <c r="E14" s="87">
        <f t="shared" si="4"/>
        <v>0.16718942311509907</v>
      </c>
      <c r="F14" s="87">
        <f t="shared" si="4"/>
        <v>0.1703162070709035</v>
      </c>
      <c r="G14" s="87">
        <f t="shared" si="4"/>
        <v>0.17493166731745413</v>
      </c>
    </row>
    <row r="15" spans="1:10" x14ac:dyDescent="0.25">
      <c r="B15" s="56" t="s">
        <v>80</v>
      </c>
      <c r="C15" s="57">
        <v>4119</v>
      </c>
      <c r="D15" s="57">
        <v>4399</v>
      </c>
      <c r="E15" s="57">
        <v>4587</v>
      </c>
      <c r="F15" s="57">
        <v>4782</v>
      </c>
      <c r="G15" s="57">
        <v>4870</v>
      </c>
    </row>
    <row r="16" spans="1:10" x14ac:dyDescent="0.25">
      <c r="A16" s="151"/>
      <c r="B16" s="152" t="s">
        <v>18</v>
      </c>
      <c r="C16" s="87">
        <f>C15/C7</f>
        <v>0.17126819126819126</v>
      </c>
      <c r="D16" s="87">
        <f t="shared" ref="D16:G16" si="5">D15/D7</f>
        <v>0.17951438481942461</v>
      </c>
      <c r="E16" s="87">
        <f t="shared" si="5"/>
        <v>0.18211775916147219</v>
      </c>
      <c r="F16" s="87">
        <f t="shared" si="5"/>
        <v>0.18599043211076971</v>
      </c>
      <c r="G16" s="87">
        <f t="shared" si="5"/>
        <v>0.19016009371339321</v>
      </c>
    </row>
    <row r="17" spans="2:10" x14ac:dyDescent="0.25">
      <c r="B17" s="51" t="s">
        <v>62</v>
      </c>
      <c r="C17" s="54"/>
      <c r="D17" s="54"/>
      <c r="E17" s="54"/>
      <c r="F17" s="67"/>
      <c r="G17" s="67"/>
    </row>
    <row r="18" spans="2:10" x14ac:dyDescent="0.25">
      <c r="B18" s="56" t="s">
        <v>26</v>
      </c>
      <c r="C18" s="57">
        <v>11294</v>
      </c>
      <c r="D18" s="57">
        <v>11158</v>
      </c>
      <c r="E18" s="57">
        <v>11790</v>
      </c>
      <c r="F18" s="57">
        <v>12347</v>
      </c>
      <c r="G18" s="57">
        <v>12652</v>
      </c>
    </row>
    <row r="19" spans="2:10" x14ac:dyDescent="0.25">
      <c r="B19" s="152" t="s">
        <v>65</v>
      </c>
      <c r="C19" s="156" t="s">
        <v>68</v>
      </c>
      <c r="D19" s="87">
        <f>D18/C18-1</f>
        <v>-1.204179210200107E-2</v>
      </c>
      <c r="E19" s="87">
        <f t="shared" ref="E19:G19" si="6">E18/D18-1</f>
        <v>5.6640975085140655E-2</v>
      </c>
      <c r="F19" s="87">
        <f t="shared" si="6"/>
        <v>4.7243426632739505E-2</v>
      </c>
      <c r="G19" s="87">
        <f t="shared" si="6"/>
        <v>2.4702356847817297E-2</v>
      </c>
    </row>
    <row r="20" spans="2:10" x14ac:dyDescent="0.25">
      <c r="B20" s="56" t="s">
        <v>66</v>
      </c>
      <c r="C20" s="57">
        <v>4007</v>
      </c>
      <c r="D20" s="57">
        <v>3964</v>
      </c>
      <c r="E20" s="57">
        <v>4114</v>
      </c>
      <c r="F20" s="57">
        <v>4431</v>
      </c>
      <c r="G20" s="57">
        <v>4677</v>
      </c>
    </row>
    <row r="21" spans="2:10" x14ac:dyDescent="0.25">
      <c r="B21" s="152" t="s">
        <v>15</v>
      </c>
      <c r="C21" s="69">
        <f>C20/C18</f>
        <v>0.35479015406410486</v>
      </c>
      <c r="D21" s="69">
        <f t="shared" ref="D21:G21" si="7">D20/D18</f>
        <v>0.35526079942642053</v>
      </c>
      <c r="E21" s="69">
        <f t="shared" si="7"/>
        <v>0.34893977947413063</v>
      </c>
      <c r="F21" s="69">
        <f t="shared" si="7"/>
        <v>0.35887260063173243</v>
      </c>
      <c r="G21" s="69">
        <f t="shared" si="7"/>
        <v>0.36966487511855833</v>
      </c>
    </row>
    <row r="22" spans="2:10" x14ac:dyDescent="0.25">
      <c r="B22" s="56" t="s">
        <v>28</v>
      </c>
      <c r="C22" s="57">
        <f>C20-C24</f>
        <v>1446</v>
      </c>
      <c r="D22" s="57">
        <f t="shared" ref="D22:G22" si="8">D20-D24</f>
        <v>1520</v>
      </c>
      <c r="E22" s="57">
        <f t="shared" si="8"/>
        <v>1614</v>
      </c>
      <c r="F22" s="57">
        <f t="shared" si="8"/>
        <v>1907</v>
      </c>
      <c r="G22" s="57">
        <f t="shared" si="8"/>
        <v>2130</v>
      </c>
      <c r="I22" s="57"/>
    </row>
    <row r="23" spans="2:10" x14ac:dyDescent="0.25">
      <c r="B23" s="152" t="s">
        <v>16</v>
      </c>
      <c r="C23" s="87">
        <f>C22/C18</f>
        <v>0.12803258367274659</v>
      </c>
      <c r="D23" s="87">
        <f t="shared" ref="D23:G23" si="9">D22/D18</f>
        <v>0.13622512995160424</v>
      </c>
      <c r="E23" s="87">
        <f t="shared" si="9"/>
        <v>0.13689567430025446</v>
      </c>
      <c r="F23" s="87">
        <f t="shared" si="9"/>
        <v>0.15445047379930346</v>
      </c>
      <c r="G23" s="87">
        <f t="shared" si="9"/>
        <v>0.16835282959215933</v>
      </c>
    </row>
    <row r="24" spans="2:10" x14ac:dyDescent="0.25">
      <c r="B24" s="56" t="s">
        <v>33</v>
      </c>
      <c r="C24" s="57">
        <v>2561</v>
      </c>
      <c r="D24" s="57">
        <v>2444</v>
      </c>
      <c r="E24" s="57">
        <v>2500</v>
      </c>
      <c r="F24" s="57">
        <v>2524</v>
      </c>
      <c r="G24" s="57">
        <v>2547</v>
      </c>
      <c r="J24" s="68"/>
    </row>
    <row r="25" spans="2:10" x14ac:dyDescent="0.25">
      <c r="B25" s="152" t="s">
        <v>79</v>
      </c>
      <c r="C25" s="87">
        <f>C24/C18</f>
        <v>0.22675757039135824</v>
      </c>
      <c r="D25" s="87">
        <f t="shared" ref="D25:G25" si="10">D24/D18</f>
        <v>0.21903566947481629</v>
      </c>
      <c r="E25" s="87">
        <f t="shared" si="10"/>
        <v>0.21204410517387617</v>
      </c>
      <c r="F25" s="87">
        <f t="shared" si="10"/>
        <v>0.20442212683242894</v>
      </c>
      <c r="G25" s="87">
        <f t="shared" si="10"/>
        <v>0.20131204552639897</v>
      </c>
    </row>
    <row r="26" spans="2:10" x14ac:dyDescent="0.25">
      <c r="B26" s="56" t="s">
        <v>80</v>
      </c>
      <c r="C26" s="57">
        <v>1905</v>
      </c>
      <c r="D26" s="57">
        <v>1872</v>
      </c>
      <c r="E26" s="57">
        <v>2049</v>
      </c>
      <c r="F26" s="57">
        <v>1919</v>
      </c>
      <c r="G26" s="57">
        <v>2250</v>
      </c>
    </row>
    <row r="27" spans="2:10" x14ac:dyDescent="0.25">
      <c r="B27" s="152" t="s">
        <v>18</v>
      </c>
      <c r="C27" s="87">
        <f>C26/C18</f>
        <v>0.16867363201700017</v>
      </c>
      <c r="D27" s="87">
        <f t="shared" ref="D27:G27" si="11">D26/D18</f>
        <v>0.16777200215092311</v>
      </c>
      <c r="E27" s="87">
        <f t="shared" si="11"/>
        <v>0.1737913486005089</v>
      </c>
      <c r="F27" s="87">
        <f t="shared" si="11"/>
        <v>0.1554223698064307</v>
      </c>
      <c r="G27" s="87">
        <f t="shared" si="11"/>
        <v>0.17783749604805565</v>
      </c>
    </row>
    <row r="28" spans="2:10" x14ac:dyDescent="0.25">
      <c r="B28" s="51" t="s">
        <v>63</v>
      </c>
      <c r="C28" s="54"/>
      <c r="D28" s="54"/>
      <c r="E28" s="54"/>
      <c r="F28" s="67"/>
      <c r="G28" s="67"/>
    </row>
    <row r="29" spans="2:10" x14ac:dyDescent="0.25">
      <c r="B29" s="56" t="s">
        <v>26</v>
      </c>
      <c r="C29" s="57">
        <v>3759</v>
      </c>
      <c r="D29" s="57">
        <v>3811</v>
      </c>
      <c r="E29" s="57">
        <v>3896</v>
      </c>
      <c r="F29" s="57">
        <v>4004</v>
      </c>
      <c r="G29" s="57">
        <v>4103</v>
      </c>
    </row>
    <row r="30" spans="2:10" x14ac:dyDescent="0.25">
      <c r="B30" s="152" t="s">
        <v>65</v>
      </c>
      <c r="C30" s="156" t="s">
        <v>68</v>
      </c>
      <c r="D30" s="87">
        <f>D29/C29-1</f>
        <v>1.3833466347432877E-2</v>
      </c>
      <c r="E30" s="87">
        <f t="shared" ref="E30:G30" si="12">E29/D29-1</f>
        <v>2.2303857255313586E-2</v>
      </c>
      <c r="F30" s="87">
        <f t="shared" si="12"/>
        <v>2.772073921971252E-2</v>
      </c>
      <c r="G30" s="87">
        <f t="shared" si="12"/>
        <v>2.4725274725274637E-2</v>
      </c>
    </row>
    <row r="31" spans="2:10" x14ac:dyDescent="0.25">
      <c r="B31" s="56" t="s">
        <v>66</v>
      </c>
      <c r="C31" s="59">
        <v>271</v>
      </c>
      <c r="D31" s="59">
        <v>284</v>
      </c>
      <c r="E31" s="59">
        <v>321</v>
      </c>
      <c r="F31" s="59">
        <v>369</v>
      </c>
      <c r="G31" s="59">
        <v>427</v>
      </c>
    </row>
    <row r="32" spans="2:10" x14ac:dyDescent="0.25">
      <c r="B32" s="152" t="s">
        <v>15</v>
      </c>
      <c r="C32" s="69">
        <f>C31/C29</f>
        <v>7.2093641926044158E-2</v>
      </c>
      <c r="D32" s="69">
        <f t="shared" ref="D32:G32" si="13">D31/D29</f>
        <v>7.4521123064812386E-2</v>
      </c>
      <c r="E32" s="69">
        <f t="shared" si="13"/>
        <v>8.239219712525668E-2</v>
      </c>
      <c r="F32" s="69">
        <f t="shared" si="13"/>
        <v>9.215784215784216E-2</v>
      </c>
      <c r="G32" s="69">
        <f t="shared" si="13"/>
        <v>0.1040701925420424</v>
      </c>
    </row>
    <row r="33" spans="2:9" x14ac:dyDescent="0.25">
      <c r="B33" s="56" t="s">
        <v>28</v>
      </c>
      <c r="C33" s="91">
        <f>C31-C35</f>
        <v>28</v>
      </c>
      <c r="D33" s="91">
        <f t="shared" ref="D33:G33" si="14">D31-D35</f>
        <v>56</v>
      </c>
      <c r="E33" s="91">
        <f t="shared" si="14"/>
        <v>103</v>
      </c>
      <c r="F33" s="91">
        <f t="shared" si="14"/>
        <v>148</v>
      </c>
      <c r="G33" s="91">
        <f t="shared" si="14"/>
        <v>175</v>
      </c>
      <c r="I33" s="91"/>
    </row>
    <row r="34" spans="2:9" x14ac:dyDescent="0.25">
      <c r="B34" s="152" t="s">
        <v>16</v>
      </c>
      <c r="C34" s="87">
        <f>C33/C29</f>
        <v>7.4487895716945996E-3</v>
      </c>
      <c r="D34" s="87">
        <f t="shared" ref="D34:G34" si="15">D33/D29</f>
        <v>1.4694305956441878E-2</v>
      </c>
      <c r="E34" s="87">
        <f t="shared" si="15"/>
        <v>2.6437371663244353E-2</v>
      </c>
      <c r="F34" s="87">
        <f t="shared" si="15"/>
        <v>3.696303696303696E-2</v>
      </c>
      <c r="G34" s="87">
        <f t="shared" si="15"/>
        <v>4.2651718254935411E-2</v>
      </c>
    </row>
    <row r="35" spans="2:9" x14ac:dyDescent="0.25">
      <c r="B35" s="56" t="s">
        <v>33</v>
      </c>
      <c r="C35" s="91">
        <v>243</v>
      </c>
      <c r="D35" s="91">
        <v>228</v>
      </c>
      <c r="E35" s="91">
        <v>218</v>
      </c>
      <c r="F35" s="91">
        <v>221</v>
      </c>
      <c r="G35" s="91">
        <v>252</v>
      </c>
    </row>
    <row r="36" spans="2:9" x14ac:dyDescent="0.25">
      <c r="B36" s="152" t="s">
        <v>79</v>
      </c>
      <c r="C36" s="87">
        <f>C35/C29</f>
        <v>6.4644852354349566E-2</v>
      </c>
      <c r="D36" s="87">
        <f t="shared" ref="D36:G36" si="16">D35/D29</f>
        <v>5.9826817108370504E-2</v>
      </c>
      <c r="E36" s="87">
        <f t="shared" si="16"/>
        <v>5.5954825462012317E-2</v>
      </c>
      <c r="F36" s="87">
        <f t="shared" si="16"/>
        <v>5.5194805194805192E-2</v>
      </c>
      <c r="G36" s="87">
        <f t="shared" si="16"/>
        <v>6.1418474287106992E-2</v>
      </c>
    </row>
    <row r="37" spans="2:9" x14ac:dyDescent="0.25">
      <c r="B37" s="56" t="s">
        <v>80</v>
      </c>
      <c r="C37" s="91">
        <v>235</v>
      </c>
      <c r="D37" s="91">
        <v>221</v>
      </c>
      <c r="E37" s="91">
        <v>210</v>
      </c>
      <c r="F37" s="91">
        <v>229</v>
      </c>
      <c r="G37" s="91">
        <v>220</v>
      </c>
    </row>
    <row r="38" spans="2:9" x14ac:dyDescent="0.25">
      <c r="B38" s="152" t="s">
        <v>18</v>
      </c>
      <c r="C38" s="87">
        <f>C37/C29</f>
        <v>6.2516626762436814E-2</v>
      </c>
      <c r="D38" s="87">
        <f t="shared" ref="D38:G38" si="17">D37/D29</f>
        <v>5.7990028863815268E-2</v>
      </c>
      <c r="E38" s="87">
        <f t="shared" si="17"/>
        <v>5.3901437371663245E-2</v>
      </c>
      <c r="F38" s="87">
        <f t="shared" si="17"/>
        <v>5.7192807192807192E-2</v>
      </c>
      <c r="G38" s="87">
        <f t="shared" si="17"/>
        <v>5.3619302949061663E-2</v>
      </c>
    </row>
    <row r="39" spans="2:9" x14ac:dyDescent="0.25">
      <c r="B39" s="51" t="s">
        <v>64</v>
      </c>
      <c r="C39" s="54"/>
      <c r="D39" s="54"/>
      <c r="E39" s="54"/>
      <c r="F39" s="67"/>
      <c r="G39" s="67"/>
    </row>
    <row r="40" spans="2:9" x14ac:dyDescent="0.25">
      <c r="B40" s="56" t="s">
        <v>26</v>
      </c>
      <c r="C40" s="57">
        <v>67791</v>
      </c>
      <c r="D40" s="57">
        <v>75436</v>
      </c>
      <c r="E40" s="57">
        <v>72436</v>
      </c>
      <c r="F40" s="57">
        <v>75046</v>
      </c>
      <c r="G40" s="57">
        <v>78097</v>
      </c>
    </row>
    <row r="41" spans="2:9" x14ac:dyDescent="0.25">
      <c r="B41" s="152" t="s">
        <v>65</v>
      </c>
      <c r="C41" s="156" t="s">
        <v>68</v>
      </c>
      <c r="D41" s="69">
        <f>D40/C40-1</f>
        <v>0.11277308197253322</v>
      </c>
      <c r="E41" s="69">
        <f t="shared" ref="E41:G41" si="18">E40/D40-1</f>
        <v>-3.9768810647436204E-2</v>
      </c>
      <c r="F41" s="69">
        <f t="shared" si="18"/>
        <v>3.6031807388591242E-2</v>
      </c>
      <c r="G41" s="69">
        <f t="shared" si="18"/>
        <v>4.0655064893531989E-2</v>
      </c>
    </row>
    <row r="42" spans="2:9" x14ac:dyDescent="0.25">
      <c r="B42" s="56" t="s">
        <v>66</v>
      </c>
      <c r="C42" s="57">
        <v>22697</v>
      </c>
      <c r="D42" s="57">
        <v>25614</v>
      </c>
      <c r="E42" s="57">
        <v>26409</v>
      </c>
      <c r="F42" s="57">
        <v>28545</v>
      </c>
      <c r="G42" s="57">
        <v>29252</v>
      </c>
    </row>
    <row r="43" spans="2:9" x14ac:dyDescent="0.25">
      <c r="B43" s="153" t="s">
        <v>15</v>
      </c>
      <c r="C43" s="69">
        <f>C42/C40</f>
        <v>0.33480845539968435</v>
      </c>
      <c r="D43" s="69">
        <f t="shared" ref="D43:G43" si="19">D42/D40</f>
        <v>0.3395461053078106</v>
      </c>
      <c r="E43" s="69">
        <f t="shared" si="19"/>
        <v>0.36458390855375777</v>
      </c>
      <c r="F43" s="69">
        <f t="shared" si="19"/>
        <v>0.38036670841883646</v>
      </c>
      <c r="G43" s="69">
        <f t="shared" si="19"/>
        <v>0.37455984224746147</v>
      </c>
    </row>
    <row r="44" spans="2:9" x14ac:dyDescent="0.25">
      <c r="B44" s="56" t="s">
        <v>28</v>
      </c>
      <c r="C44" s="92">
        <f>C42-C46</f>
        <v>4405</v>
      </c>
      <c r="D44" s="92">
        <f t="shared" ref="D44:G44" si="20">D42-D46</f>
        <v>7243</v>
      </c>
      <c r="E44" s="92">
        <f t="shared" si="20"/>
        <v>10896</v>
      </c>
      <c r="F44" s="92">
        <f t="shared" si="20"/>
        <v>13001</v>
      </c>
      <c r="G44" s="92">
        <f t="shared" si="20"/>
        <v>13745</v>
      </c>
      <c r="I44" s="92"/>
    </row>
    <row r="45" spans="2:9" x14ac:dyDescent="0.25">
      <c r="B45" s="152" t="s">
        <v>16</v>
      </c>
      <c r="C45" s="87">
        <f>C44/C40</f>
        <v>6.4979127022761138E-2</v>
      </c>
      <c r="D45" s="87">
        <f t="shared" ref="D45:G45" si="21">D44/D40</f>
        <v>9.6015165173126887E-2</v>
      </c>
      <c r="E45" s="87">
        <f t="shared" si="21"/>
        <v>0.15042244187972831</v>
      </c>
      <c r="F45" s="87">
        <f t="shared" si="21"/>
        <v>0.1732404125469712</v>
      </c>
      <c r="G45" s="87">
        <f t="shared" si="21"/>
        <v>0.17599907806958015</v>
      </c>
    </row>
    <row r="46" spans="2:9" x14ac:dyDescent="0.25">
      <c r="B46" s="56" t="s">
        <v>33</v>
      </c>
      <c r="C46" s="92">
        <v>18292</v>
      </c>
      <c r="D46" s="92">
        <v>18371</v>
      </c>
      <c r="E46" s="92">
        <v>15513</v>
      </c>
      <c r="F46" s="92">
        <v>15544</v>
      </c>
      <c r="G46" s="92">
        <v>15507</v>
      </c>
    </row>
    <row r="47" spans="2:9" x14ac:dyDescent="0.25">
      <c r="B47" s="152" t="s">
        <v>79</v>
      </c>
      <c r="C47" s="87">
        <f>C46/C40</f>
        <v>0.26982932837692319</v>
      </c>
      <c r="D47" s="87">
        <f t="shared" ref="D47:G47" si="22">D46/D40</f>
        <v>0.24353094013468371</v>
      </c>
      <c r="E47" s="87">
        <f t="shared" si="22"/>
        <v>0.21416146667402949</v>
      </c>
      <c r="F47" s="87">
        <f t="shared" si="22"/>
        <v>0.20712629587186526</v>
      </c>
      <c r="G47" s="87">
        <f t="shared" si="22"/>
        <v>0.19856076417788135</v>
      </c>
    </row>
    <row r="48" spans="2:9" x14ac:dyDescent="0.25">
      <c r="B48" s="56" t="s">
        <v>80</v>
      </c>
      <c r="C48" s="92">
        <v>18594</v>
      </c>
      <c r="D48" s="92">
        <v>16340</v>
      </c>
      <c r="E48" s="92">
        <v>10053</v>
      </c>
      <c r="F48" s="92">
        <v>11410</v>
      </c>
      <c r="G48" s="92">
        <v>11060</v>
      </c>
    </row>
    <row r="49" spans="2:7" x14ac:dyDescent="0.25">
      <c r="B49" s="154" t="s">
        <v>18</v>
      </c>
      <c r="C49" s="93">
        <f>C48/C40</f>
        <v>0.27428419701730317</v>
      </c>
      <c r="D49" s="93">
        <f t="shared" ref="D49:G49" si="23">D48/D40</f>
        <v>0.21660745532636938</v>
      </c>
      <c r="E49" s="93">
        <f t="shared" si="23"/>
        <v>0.13878458225191895</v>
      </c>
      <c r="F49" s="93">
        <f t="shared" si="23"/>
        <v>0.15204008208298911</v>
      </c>
      <c r="G49" s="93">
        <f t="shared" si="23"/>
        <v>0.14161875616220854</v>
      </c>
    </row>
    <row r="50" spans="2:7" x14ac:dyDescent="0.25">
      <c r="B50" s="63" t="s">
        <v>88</v>
      </c>
    </row>
    <row r="51" spans="2:7" x14ac:dyDescent="0.25">
      <c r="B51" s="56" t="s">
        <v>81</v>
      </c>
      <c r="C51" s="59">
        <v>3166</v>
      </c>
      <c r="D51" s="59">
        <v>3293</v>
      </c>
      <c r="E51" s="59">
        <v>4399</v>
      </c>
      <c r="F51" s="59">
        <v>6335</v>
      </c>
      <c r="G51" s="59">
        <v>7569</v>
      </c>
    </row>
    <row r="52" spans="2:7" x14ac:dyDescent="0.25">
      <c r="B52" s="56" t="s">
        <v>82</v>
      </c>
      <c r="C52" s="96" t="s">
        <v>68</v>
      </c>
      <c r="D52" s="59">
        <v>127</v>
      </c>
      <c r="E52" s="59">
        <v>1106</v>
      </c>
      <c r="F52" s="59">
        <v>1936</v>
      </c>
      <c r="G52" s="59">
        <v>1234</v>
      </c>
    </row>
    <row r="53" spans="2:7" x14ac:dyDescent="0.25">
      <c r="B53" s="152" t="s">
        <v>83</v>
      </c>
      <c r="C53" s="95">
        <f>C51/'03_Historical Financials'!C6</f>
        <v>2.9421057522535082E-2</v>
      </c>
      <c r="D53" s="95">
        <f>D51/'03_Historical Financials'!D6</f>
        <v>2.8836134049055578E-2</v>
      </c>
      <c r="E53" s="95">
        <f>E51/'03_Historical Financials'!E6</f>
        <v>3.9287309100651958E-2</v>
      </c>
      <c r="F53" s="95">
        <f>F51/'03_Historical Financials'!F6</f>
        <v>5.4721039311041816E-2</v>
      </c>
      <c r="G53" s="95">
        <f>G51/'03_Historical Financials'!G6</f>
        <v>6.3561777277651346E-2</v>
      </c>
    </row>
    <row r="54" spans="2:7" x14ac:dyDescent="0.25">
      <c r="B54" s="63" t="s">
        <v>84</v>
      </c>
      <c r="C54" s="97">
        <f>C51*(C7/'03_Historical Financials'!C6)</f>
        <v>707.5764334169686</v>
      </c>
      <c r="D54" s="97">
        <f>D51*(D7/'03_Historical Financials'!D6)</f>
        <v>706.62946487210695</v>
      </c>
      <c r="E54" s="97">
        <f>E51*(E7/'03_Historical Financials'!E6)</f>
        <v>989.529454318121</v>
      </c>
      <c r="F54" s="97">
        <f>F51*(F7/'03_Historical Financials'!F6)</f>
        <v>1406.9326417261962</v>
      </c>
      <c r="G54" s="97">
        <f>G51*(G7/'03_Historical Financials'!G6)</f>
        <v>1627.817116080651</v>
      </c>
    </row>
    <row r="55" spans="2:7" x14ac:dyDescent="0.25">
      <c r="B55" s="155" t="s">
        <v>82</v>
      </c>
      <c r="C55" s="98" t="s">
        <v>68</v>
      </c>
      <c r="D55" s="99">
        <f>D54-C54</f>
        <v>-0.94696854486164739</v>
      </c>
      <c r="E55" s="99">
        <f t="shared" ref="E55:G55" si="24">E54-D54</f>
        <v>282.89998944601405</v>
      </c>
      <c r="F55" s="99">
        <f t="shared" si="24"/>
        <v>417.40318740807515</v>
      </c>
      <c r="G55" s="99">
        <f t="shared" si="24"/>
        <v>220.88447435445482</v>
      </c>
    </row>
    <row r="56" spans="2:7" x14ac:dyDescent="0.25">
      <c r="B56" s="63" t="s">
        <v>85</v>
      </c>
      <c r="C56" s="97">
        <f>C51*(C18/'03_Historical Financials'!C6)</f>
        <v>332.28142365951118</v>
      </c>
      <c r="D56" s="97">
        <f>D51*(D18/'03_Historical Financials'!D6)</f>
        <v>321.75358371936215</v>
      </c>
      <c r="E56" s="97">
        <f>E51*(E18/'03_Historical Financials'!E6)</f>
        <v>463.19737429668658</v>
      </c>
      <c r="F56" s="97">
        <f>F51*(F18/'03_Historical Financials'!F6)</f>
        <v>675.64067237343329</v>
      </c>
      <c r="G56" s="97">
        <f>G51*(G18/'03_Historical Financials'!G6)</f>
        <v>804.18360611684489</v>
      </c>
    </row>
    <row r="57" spans="2:7" x14ac:dyDescent="0.25">
      <c r="B57" s="155" t="s">
        <v>82</v>
      </c>
      <c r="C57" s="98" t="s">
        <v>68</v>
      </c>
      <c r="D57" s="99">
        <f>D56-C56</f>
        <v>-10.527839940149022</v>
      </c>
      <c r="E57" s="99">
        <f t="shared" ref="E57:G57" si="25">E56-D56</f>
        <v>141.44379057732442</v>
      </c>
      <c r="F57" s="99">
        <f t="shared" si="25"/>
        <v>212.44329807674671</v>
      </c>
      <c r="G57" s="99">
        <f t="shared" si="25"/>
        <v>128.5429337434116</v>
      </c>
    </row>
    <row r="58" spans="2:7" x14ac:dyDescent="0.25">
      <c r="B58" s="63" t="s">
        <v>86</v>
      </c>
      <c r="C58" s="100">
        <f>C51*(C29/'03_Historical Financials'!C6)</f>
        <v>110.59375522720937</v>
      </c>
      <c r="D58" s="100">
        <f>D51*(D29/'03_Historical Financials'!D6)</f>
        <v>109.89450686095081</v>
      </c>
      <c r="E58" s="100">
        <f>E51*(E29/'03_Historical Financials'!E6)</f>
        <v>153.06335625614003</v>
      </c>
      <c r="F58" s="100">
        <f>F51*(F29/'03_Historical Financials'!F6)</f>
        <v>219.10304140141145</v>
      </c>
      <c r="G58" s="100">
        <f>G51*(G29/'03_Historical Financials'!G6)</f>
        <v>260.79397217020352</v>
      </c>
    </row>
    <row r="59" spans="2:7" x14ac:dyDescent="0.25">
      <c r="B59" s="155" t="s">
        <v>82</v>
      </c>
      <c r="C59" s="98" t="s">
        <v>68</v>
      </c>
      <c r="D59" s="99">
        <f>D58-C58</f>
        <v>-0.69924836625855846</v>
      </c>
      <c r="E59" s="99">
        <f t="shared" ref="E59:G59" si="26">E58-D58</f>
        <v>43.168849395189213</v>
      </c>
      <c r="F59" s="99">
        <f t="shared" si="26"/>
        <v>66.03968514527142</v>
      </c>
      <c r="G59" s="99">
        <f t="shared" si="26"/>
        <v>41.690930768792072</v>
      </c>
    </row>
    <row r="60" spans="2:7" x14ac:dyDescent="0.25">
      <c r="B60" s="63" t="s">
        <v>87</v>
      </c>
      <c r="C60" s="100">
        <f>C51*(C40/'03_Historical Financials'!C6)</f>
        <v>1994.4829105101758</v>
      </c>
      <c r="D60" s="100">
        <f>D51*(D40/'03_Historical Financials'!D6)</f>
        <v>2175.2826081245566</v>
      </c>
      <c r="E60" s="100">
        <f>E51*(E40/'03_Historical Financials'!E6)</f>
        <v>2845.8155220148255</v>
      </c>
      <c r="F60" s="100">
        <f>F51*(F40/'03_Historical Financials'!F6)</f>
        <v>4106.5951161364437</v>
      </c>
      <c r="G60" s="100">
        <f>G51*(G40/'03_Historical Financials'!G6)</f>
        <v>4963.9841200527371</v>
      </c>
    </row>
    <row r="61" spans="2:7" x14ac:dyDescent="0.25">
      <c r="B61" s="155" t="s">
        <v>82</v>
      </c>
      <c r="C61" s="98" t="s">
        <v>68</v>
      </c>
      <c r="D61" s="99">
        <f>D60-C60</f>
        <v>180.79969761438088</v>
      </c>
      <c r="E61" s="99">
        <f t="shared" ref="E61:G61" si="27">E60-D60</f>
        <v>670.5329138902689</v>
      </c>
      <c r="F61" s="99">
        <f t="shared" si="27"/>
        <v>1260.7795941216182</v>
      </c>
      <c r="G61" s="99">
        <f t="shared" si="27"/>
        <v>857.3890039162934</v>
      </c>
    </row>
    <row r="64" spans="2:7" x14ac:dyDescent="0.25">
      <c r="B64" s="1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3E62-714F-45D0-ABD5-1E52C1E56460}">
  <dimension ref="A2:I22"/>
  <sheetViews>
    <sheetView showGridLines="0" workbookViewId="0"/>
  </sheetViews>
  <sheetFormatPr defaultRowHeight="15.75" x14ac:dyDescent="0.25"/>
  <cols>
    <col min="1" max="1" width="4.5" customWidth="1"/>
    <col min="4" max="4" width="15.75" customWidth="1"/>
  </cols>
  <sheetData>
    <row r="2" spans="1:9" ht="21" x14ac:dyDescent="0.35">
      <c r="A2" s="3"/>
      <c r="B2" s="6" t="s">
        <v>23</v>
      </c>
      <c r="C2" s="3"/>
      <c r="D2" s="3"/>
      <c r="E2" s="3"/>
      <c r="F2" s="3"/>
      <c r="G2" s="3"/>
      <c r="H2" s="3"/>
      <c r="I2" s="3"/>
    </row>
    <row r="4" spans="1:9" x14ac:dyDescent="0.25">
      <c r="A4" t="s">
        <v>20</v>
      </c>
      <c r="B4" s="7" t="s">
        <v>23</v>
      </c>
      <c r="C4" s="8"/>
      <c r="D4" s="8"/>
      <c r="E4" s="8"/>
      <c r="F4" s="8"/>
      <c r="G4" s="8"/>
      <c r="H4" s="8"/>
      <c r="I4" s="8"/>
    </row>
    <row r="5" spans="1:9" x14ac:dyDescent="0.25">
      <c r="B5" s="85" t="s">
        <v>47</v>
      </c>
    </row>
    <row r="6" spans="1:9" x14ac:dyDescent="0.25">
      <c r="B6" s="85" t="s">
        <v>48</v>
      </c>
    </row>
    <row r="8" spans="1:9" x14ac:dyDescent="0.25">
      <c r="B8" s="56" t="s">
        <v>49</v>
      </c>
      <c r="C8" s="56"/>
      <c r="D8" s="117">
        <v>143603000000</v>
      </c>
    </row>
    <row r="9" spans="1:9" x14ac:dyDescent="0.25">
      <c r="B9" s="56" t="s">
        <v>50</v>
      </c>
      <c r="C9" s="56"/>
      <c r="D9" s="74">
        <f>D8/D20</f>
        <v>0.51414771771158918</v>
      </c>
    </row>
    <row r="10" spans="1:9" x14ac:dyDescent="0.25">
      <c r="B10" s="75" t="s">
        <v>51</v>
      </c>
      <c r="C10" s="56"/>
      <c r="D10" s="83">
        <v>5.0999999999999997E-2</v>
      </c>
    </row>
    <row r="11" spans="1:9" x14ac:dyDescent="0.25">
      <c r="B11" s="56" t="s">
        <v>52</v>
      </c>
      <c r="C11" s="56"/>
      <c r="D11" s="83">
        <v>0.31</v>
      </c>
    </row>
    <row r="12" spans="1:9" x14ac:dyDescent="0.25">
      <c r="B12" s="56"/>
      <c r="C12" s="56"/>
      <c r="D12" s="56"/>
    </row>
    <row r="13" spans="1:9" x14ac:dyDescent="0.25">
      <c r="B13" s="56" t="s">
        <v>43</v>
      </c>
      <c r="C13" s="56"/>
      <c r="D13" s="57">
        <v>135699999999.99998</v>
      </c>
    </row>
    <row r="14" spans="1:9" x14ac:dyDescent="0.25">
      <c r="B14" s="56" t="s">
        <v>53</v>
      </c>
      <c r="C14" s="56"/>
      <c r="D14" s="118">
        <f>D13/D20</f>
        <v>0.48585228228841076</v>
      </c>
    </row>
    <row r="15" spans="1:9" x14ac:dyDescent="0.25">
      <c r="B15" s="56" t="s">
        <v>54</v>
      </c>
      <c r="C15" s="56"/>
      <c r="D15" s="76">
        <f>D16+D17*D18</f>
        <v>7.5749999999999998E-2</v>
      </c>
    </row>
    <row r="16" spans="1:9" x14ac:dyDescent="0.25">
      <c r="B16" s="56" t="s">
        <v>55</v>
      </c>
      <c r="C16" s="56"/>
      <c r="D16" s="83">
        <v>2.9000000000000001E-2</v>
      </c>
    </row>
    <row r="17" spans="1:4" x14ac:dyDescent="0.25">
      <c r="B17" s="56" t="s">
        <v>56</v>
      </c>
      <c r="C17" s="56"/>
      <c r="D17" s="84">
        <v>0.85</v>
      </c>
    </row>
    <row r="18" spans="1:4" x14ac:dyDescent="0.25">
      <c r="B18" s="56" t="s">
        <v>57</v>
      </c>
      <c r="C18" s="56"/>
      <c r="D18" s="83">
        <v>5.5E-2</v>
      </c>
    </row>
    <row r="19" spans="1:4" x14ac:dyDescent="0.25">
      <c r="B19" s="56"/>
      <c r="C19" s="56"/>
      <c r="D19" s="56"/>
    </row>
    <row r="20" spans="1:4" x14ac:dyDescent="0.25">
      <c r="B20" s="77" t="s">
        <v>58</v>
      </c>
      <c r="C20" s="77"/>
      <c r="D20" s="78">
        <f>D8+D13</f>
        <v>279303000000</v>
      </c>
    </row>
    <row r="21" spans="1:4" x14ac:dyDescent="0.25">
      <c r="B21" s="56"/>
      <c r="C21" s="56"/>
      <c r="D21" s="56"/>
    </row>
    <row r="22" spans="1:4" x14ac:dyDescent="0.25">
      <c r="A22" t="s">
        <v>20</v>
      </c>
      <c r="B22" s="49" t="s">
        <v>23</v>
      </c>
      <c r="C22" s="79"/>
      <c r="D22" s="50">
        <f>(D9*D10*(1-D11))+(D14*D15)</f>
        <v>5.4896168569617938E-2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A2E2-861B-4256-B8D7-0F9E9AB872E6}">
  <dimension ref="A2:O76"/>
  <sheetViews>
    <sheetView showGridLines="0" zoomScale="90" zoomScaleNormal="90" workbookViewId="0"/>
  </sheetViews>
  <sheetFormatPr defaultRowHeight="15.75" x14ac:dyDescent="0.25"/>
  <cols>
    <col min="1" max="1" width="4.875" customWidth="1"/>
    <col min="2" max="12" width="12.625" customWidth="1"/>
    <col min="13" max="13" width="10.5" customWidth="1"/>
    <col min="14" max="14" width="12.625" customWidth="1"/>
    <col min="15" max="15" width="1.625" customWidth="1"/>
  </cols>
  <sheetData>
    <row r="2" spans="1:14" s="3" customFormat="1" ht="21" x14ac:dyDescent="0.35">
      <c r="B2" s="6" t="s">
        <v>46</v>
      </c>
    </row>
    <row r="5" spans="1:14" x14ac:dyDescent="0.25">
      <c r="A5" t="s">
        <v>20</v>
      </c>
      <c r="B5" s="7" t="s">
        <v>21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B6" s="9" t="s">
        <v>22</v>
      </c>
    </row>
    <row r="7" spans="1:14" x14ac:dyDescent="0.25">
      <c r="B7" s="61" t="s">
        <v>23</v>
      </c>
      <c r="C7" s="61"/>
      <c r="D7" s="86">
        <f>'WACC Germany'!D22</f>
        <v>5.4896168569617938E-2</v>
      </c>
    </row>
    <row r="8" spans="1:14" x14ac:dyDescent="0.25">
      <c r="B8" s="61" t="s">
        <v>24</v>
      </c>
      <c r="C8" s="61"/>
      <c r="D8" s="82">
        <v>1.4999999999999999E-2</v>
      </c>
    </row>
    <row r="9" spans="1:14" x14ac:dyDescent="0.25">
      <c r="B9" s="61" t="s">
        <v>52</v>
      </c>
      <c r="C9" s="61"/>
      <c r="D9" s="82">
        <v>0.31</v>
      </c>
    </row>
    <row r="11" spans="1:14" x14ac:dyDescent="0.25">
      <c r="B11" s="63" t="s">
        <v>69</v>
      </c>
    </row>
    <row r="12" spans="1:14" x14ac:dyDescent="0.25">
      <c r="B12" s="80" t="s">
        <v>60</v>
      </c>
      <c r="C12" s="80"/>
      <c r="D12" s="80"/>
      <c r="E12" s="81" t="s">
        <v>71</v>
      </c>
      <c r="F12" s="81" t="s">
        <v>72</v>
      </c>
      <c r="G12" s="81" t="s">
        <v>73</v>
      </c>
      <c r="H12" s="81" t="s">
        <v>74</v>
      </c>
      <c r="I12" s="81" t="s">
        <v>75</v>
      </c>
    </row>
    <row r="13" spans="1:14" ht="15.95" customHeight="1" x14ac:dyDescent="0.25">
      <c r="B13" s="61" t="s">
        <v>65</v>
      </c>
      <c r="C13" s="61"/>
      <c r="D13" s="61"/>
      <c r="E13" s="89">
        <v>1.4999999999999999E-2</v>
      </c>
      <c r="F13" s="89">
        <v>1.7999999999999999E-2</v>
      </c>
      <c r="G13" s="89">
        <v>0.02</v>
      </c>
      <c r="H13" s="89">
        <v>0.02</v>
      </c>
      <c r="I13" s="89">
        <v>0.02</v>
      </c>
      <c r="K13" s="115"/>
    </row>
    <row r="14" spans="1:14" x14ac:dyDescent="0.25">
      <c r="B14" s="61" t="s">
        <v>16</v>
      </c>
      <c r="C14" s="61"/>
      <c r="D14" s="61"/>
      <c r="E14" s="89">
        <v>0.23</v>
      </c>
      <c r="F14" s="89">
        <v>0.23200000000000001</v>
      </c>
      <c r="G14" s="89">
        <v>0.23400000000000001</v>
      </c>
      <c r="H14" s="89">
        <v>0.23499999999999999</v>
      </c>
      <c r="I14" s="89">
        <v>0.23499999999999999</v>
      </c>
    </row>
    <row r="15" spans="1:14" x14ac:dyDescent="0.25">
      <c r="B15" s="61" t="s">
        <v>76</v>
      </c>
      <c r="C15" s="61"/>
      <c r="D15" s="61"/>
      <c r="E15" s="89">
        <v>0.17499999999999999</v>
      </c>
      <c r="F15" s="89">
        <v>0.17299999999999999</v>
      </c>
      <c r="G15" s="89">
        <v>0.17</v>
      </c>
      <c r="H15" s="89">
        <v>0.16800000000000001</v>
      </c>
      <c r="I15" s="89">
        <v>0.17499999999999999</v>
      </c>
    </row>
    <row r="16" spans="1:14" x14ac:dyDescent="0.25">
      <c r="B16" s="61" t="s">
        <v>77</v>
      </c>
      <c r="C16" s="61"/>
      <c r="D16" s="61"/>
      <c r="E16" s="89">
        <v>0.19</v>
      </c>
      <c r="F16" s="89">
        <v>0.188</v>
      </c>
      <c r="G16" s="89">
        <v>0.185</v>
      </c>
      <c r="H16" s="89">
        <v>0.18</v>
      </c>
      <c r="I16" s="89">
        <v>0.17499999999999999</v>
      </c>
    </row>
    <row r="17" spans="1:14" x14ac:dyDescent="0.25">
      <c r="B17" s="61" t="s">
        <v>78</v>
      </c>
      <c r="C17" s="61"/>
      <c r="D17" s="61"/>
      <c r="E17" s="89">
        <v>1.2E-2</v>
      </c>
      <c r="F17" s="89">
        <v>1.2E-2</v>
      </c>
      <c r="G17" s="89">
        <v>1.2E-2</v>
      </c>
      <c r="H17" s="89">
        <v>1.2E-2</v>
      </c>
      <c r="I17" s="89">
        <v>1.2E-2</v>
      </c>
    </row>
    <row r="20" spans="1:14" x14ac:dyDescent="0.25">
      <c r="J20" s="104">
        <v>1</v>
      </c>
      <c r="K20" s="104">
        <f>J20+1</f>
        <v>2</v>
      </c>
      <c r="L20" s="104">
        <f>K20+1</f>
        <v>3</v>
      </c>
      <c r="M20" s="104">
        <f t="shared" ref="M20:N20" si="0">L20+1</f>
        <v>4</v>
      </c>
      <c r="N20" s="104">
        <f t="shared" si="0"/>
        <v>5</v>
      </c>
    </row>
    <row r="21" spans="1:14" x14ac:dyDescent="0.25">
      <c r="A21" t="s">
        <v>20</v>
      </c>
      <c r="B21" s="7" t="s">
        <v>25</v>
      </c>
      <c r="C21" s="8"/>
      <c r="D21" s="8"/>
      <c r="E21" s="7">
        <v>2021</v>
      </c>
      <c r="F21" s="7">
        <f>E21+1</f>
        <v>2022</v>
      </c>
      <c r="G21" s="7">
        <f t="shared" ref="G21:N21" si="1">F21+1</f>
        <v>2023</v>
      </c>
      <c r="H21" s="7">
        <f t="shared" si="1"/>
        <v>2024</v>
      </c>
      <c r="I21" s="7">
        <f t="shared" si="1"/>
        <v>2025</v>
      </c>
      <c r="J21" s="7">
        <f t="shared" si="1"/>
        <v>2026</v>
      </c>
      <c r="K21" s="7">
        <f>J21+1</f>
        <v>2027</v>
      </c>
      <c r="L21" s="7">
        <f>K21+1</f>
        <v>2028</v>
      </c>
      <c r="M21" s="7">
        <f t="shared" si="1"/>
        <v>2029</v>
      </c>
      <c r="N21" s="7">
        <f t="shared" si="1"/>
        <v>2030</v>
      </c>
    </row>
    <row r="22" spans="1:14" x14ac:dyDescent="0.25">
      <c r="A22" s="10"/>
      <c r="B22" s="10" t="s">
        <v>26</v>
      </c>
      <c r="C22" s="10"/>
      <c r="D22" s="10"/>
      <c r="E22" s="11">
        <f>'04_Segment Financials'!C7</f>
        <v>24050</v>
      </c>
      <c r="F22" s="11">
        <f>'04_Segment Financials'!D7</f>
        <v>24505</v>
      </c>
      <c r="G22" s="11">
        <f>'04_Segment Financials'!E7</f>
        <v>25187</v>
      </c>
      <c r="H22" s="11">
        <f>'04_Segment Financials'!F7</f>
        <v>25711</v>
      </c>
      <c r="I22" s="11">
        <f>'04_Segment Financials'!G7</f>
        <v>25610</v>
      </c>
      <c r="J22" s="88">
        <f>I22*(1+E13)</f>
        <v>25994.149999999998</v>
      </c>
      <c r="K22" s="18">
        <f>J22*(1+F13)</f>
        <v>26462.044699999999</v>
      </c>
      <c r="L22" s="18">
        <f>K22*(1+G13)</f>
        <v>26991.285593999997</v>
      </c>
      <c r="M22" s="18">
        <f>L22*(1+H13)</f>
        <v>27531.111305879997</v>
      </c>
      <c r="N22" s="18">
        <f>M22*(1+I13)</f>
        <v>28081.733531997597</v>
      </c>
    </row>
    <row r="23" spans="1:14" x14ac:dyDescent="0.25">
      <c r="A23" s="10"/>
      <c r="B23" s="12" t="s">
        <v>27</v>
      </c>
      <c r="C23" s="10"/>
      <c r="D23" s="10"/>
      <c r="E23" s="90" t="s">
        <v>68</v>
      </c>
      <c r="F23" s="13">
        <f t="shared" ref="F23" si="2">F22/E22-1</f>
        <v>1.8918918918918948E-2</v>
      </c>
      <c r="G23" s="13">
        <f t="shared" ref="G23" si="3">G22/F22-1</f>
        <v>2.7831054886757745E-2</v>
      </c>
      <c r="H23" s="13">
        <f t="shared" ref="H23" si="4">H22/G22-1</f>
        <v>2.0804383213562483E-2</v>
      </c>
      <c r="I23" s="13">
        <f t="shared" ref="I23" si="5">I22/H22-1</f>
        <v>-3.9282797246315004E-3</v>
      </c>
      <c r="J23" s="106">
        <f t="shared" ref="J23" si="6">J22/I22-1</f>
        <v>1.4999999999999902E-2</v>
      </c>
      <c r="K23" s="13">
        <f t="shared" ref="K23" si="7">K22/J22-1</f>
        <v>1.8000000000000016E-2</v>
      </c>
      <c r="L23" s="13">
        <f t="shared" ref="L23" si="8">L22/K22-1</f>
        <v>2.0000000000000018E-2</v>
      </c>
      <c r="M23" s="13">
        <f t="shared" ref="M23" si="9">M22/L22-1</f>
        <v>2.0000000000000018E-2</v>
      </c>
      <c r="N23" s="13">
        <f t="shared" ref="N23" si="10">N22/M22-1</f>
        <v>2.0000000000000018E-2</v>
      </c>
    </row>
    <row r="24" spans="1:14" x14ac:dyDescent="0.25">
      <c r="A24" s="10"/>
      <c r="B24" s="16"/>
      <c r="C24" s="10"/>
      <c r="D24" s="10"/>
      <c r="E24" s="10"/>
      <c r="F24" s="10"/>
      <c r="G24" s="10"/>
      <c r="H24" s="10"/>
      <c r="I24" s="10"/>
      <c r="J24" s="107"/>
      <c r="K24" s="10"/>
      <c r="L24" s="10"/>
      <c r="M24" s="10"/>
      <c r="N24" s="10"/>
    </row>
    <row r="25" spans="1:14" x14ac:dyDescent="0.25">
      <c r="A25" s="10"/>
      <c r="B25" s="10" t="s">
        <v>28</v>
      </c>
      <c r="C25" s="10"/>
      <c r="D25" s="10"/>
      <c r="E25" s="11">
        <f>'04_Segment Financials'!C11</f>
        <v>5530</v>
      </c>
      <c r="F25" s="11">
        <f>'04_Segment Financials'!D11</f>
        <v>5832</v>
      </c>
      <c r="G25" s="11">
        <f>'04_Segment Financials'!E11</f>
        <v>6027</v>
      </c>
      <c r="H25" s="11">
        <f>'04_Segment Financials'!F11</f>
        <v>6137</v>
      </c>
      <c r="I25" s="11">
        <f>'04_Segment Financials'!G11</f>
        <v>6214</v>
      </c>
      <c r="J25" s="88">
        <f>J22*E14</f>
        <v>5978.6544999999996</v>
      </c>
      <c r="K25" s="18">
        <f>K22*F14</f>
        <v>6139.1943703999996</v>
      </c>
      <c r="L25" s="18">
        <f>L22*G14</f>
        <v>6315.9608289959997</v>
      </c>
      <c r="M25" s="18">
        <f>M22*H14</f>
        <v>6469.8111568817985</v>
      </c>
      <c r="N25" s="18">
        <f>N22*I14</f>
        <v>6599.2073800194348</v>
      </c>
    </row>
    <row r="26" spans="1:14" x14ac:dyDescent="0.25">
      <c r="A26" s="10"/>
      <c r="B26" s="12" t="s">
        <v>29</v>
      </c>
      <c r="C26" s="10"/>
      <c r="D26" s="10"/>
      <c r="E26" s="13">
        <f>E25/E$22</f>
        <v>0.22993762993762995</v>
      </c>
      <c r="F26" s="13">
        <f t="shared" ref="F26:N26" si="11">F25/F$22</f>
        <v>0.23799224648031014</v>
      </c>
      <c r="G26" s="13">
        <f t="shared" si="11"/>
        <v>0.23929010997736927</v>
      </c>
      <c r="H26" s="13">
        <f t="shared" si="11"/>
        <v>0.2386916105946871</v>
      </c>
      <c r="I26" s="13">
        <f t="shared" si="11"/>
        <v>0.24263959390862944</v>
      </c>
      <c r="J26" s="106">
        <f t="shared" si="11"/>
        <v>0.23</v>
      </c>
      <c r="K26" s="13">
        <f t="shared" si="11"/>
        <v>0.23199999999999998</v>
      </c>
      <c r="L26" s="13">
        <f t="shared" si="11"/>
        <v>0.23400000000000001</v>
      </c>
      <c r="M26" s="13">
        <f t="shared" si="11"/>
        <v>0.23499999999999999</v>
      </c>
      <c r="N26" s="13">
        <f t="shared" si="11"/>
        <v>0.23499999999999999</v>
      </c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8"/>
    </row>
    <row r="28" spans="1:14" x14ac:dyDescent="0.25">
      <c r="A28" s="10"/>
      <c r="B28" s="10" t="s">
        <v>30</v>
      </c>
      <c r="C28" s="10"/>
      <c r="D28" s="10"/>
      <c r="E28" s="11">
        <f>E25*$D$9</f>
        <v>1714.3</v>
      </c>
      <c r="F28" s="11">
        <f t="shared" ref="F28:I28" si="12">F25*$D$9</f>
        <v>1807.92</v>
      </c>
      <c r="G28" s="11">
        <f t="shared" si="12"/>
        <v>1868.37</v>
      </c>
      <c r="H28" s="11">
        <f t="shared" si="12"/>
        <v>1902.47</v>
      </c>
      <c r="I28" s="11">
        <f t="shared" si="12"/>
        <v>1926.34</v>
      </c>
      <c r="J28" s="88">
        <f>J25*$D$9</f>
        <v>1853.382895</v>
      </c>
      <c r="K28" s="18">
        <f>K25*$D$9</f>
        <v>1903.1502548239998</v>
      </c>
      <c r="L28" s="18">
        <f>L25*$D$9</f>
        <v>1957.9478569887599</v>
      </c>
      <c r="M28" s="18">
        <f>M25*$D$9</f>
        <v>2005.6414586333576</v>
      </c>
      <c r="N28" s="18">
        <f>N25*$D$9</f>
        <v>2045.7542878060249</v>
      </c>
    </row>
    <row r="29" spans="1:14" x14ac:dyDescent="0.25">
      <c r="A29" s="10"/>
      <c r="B29" s="12" t="s">
        <v>31</v>
      </c>
      <c r="C29" s="10"/>
      <c r="D29" s="10"/>
      <c r="E29" s="13">
        <f>E28/E$25</f>
        <v>0.31</v>
      </c>
      <c r="F29" s="13">
        <f t="shared" ref="F29:N29" si="13">F28/F$25</f>
        <v>0.31</v>
      </c>
      <c r="G29" s="13">
        <f t="shared" si="13"/>
        <v>0.31</v>
      </c>
      <c r="H29" s="13">
        <f t="shared" si="13"/>
        <v>0.31</v>
      </c>
      <c r="I29" s="13">
        <f t="shared" si="13"/>
        <v>0.31</v>
      </c>
      <c r="J29" s="106">
        <f t="shared" si="13"/>
        <v>0.31</v>
      </c>
      <c r="K29" s="13">
        <f t="shared" si="13"/>
        <v>0.31</v>
      </c>
      <c r="L29" s="13">
        <f t="shared" si="13"/>
        <v>0.31</v>
      </c>
      <c r="M29" s="13">
        <f t="shared" si="13"/>
        <v>0.31</v>
      </c>
      <c r="N29" s="13">
        <f t="shared" si="13"/>
        <v>0.31</v>
      </c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7"/>
      <c r="J30" s="10"/>
      <c r="K30" s="10"/>
      <c r="L30" s="10"/>
      <c r="M30" s="10"/>
      <c r="N30" s="10"/>
    </row>
    <row r="31" spans="1:14" x14ac:dyDescent="0.25">
      <c r="A31" t="s">
        <v>20</v>
      </c>
      <c r="B31" s="7" t="s">
        <v>32</v>
      </c>
      <c r="C31" s="8"/>
      <c r="D31" s="8"/>
      <c r="E31" s="7">
        <v>2021</v>
      </c>
      <c r="F31" s="7">
        <f>E31+1</f>
        <v>2022</v>
      </c>
      <c r="G31" s="7">
        <f t="shared" ref="G31:N31" si="14">F31+1</f>
        <v>2023</v>
      </c>
      <c r="H31" s="7">
        <f t="shared" si="14"/>
        <v>2024</v>
      </c>
      <c r="I31" s="7">
        <f t="shared" si="14"/>
        <v>2025</v>
      </c>
      <c r="J31" s="7">
        <f t="shared" si="14"/>
        <v>2026</v>
      </c>
      <c r="K31" s="7">
        <f>J31+1</f>
        <v>2027</v>
      </c>
      <c r="L31" s="7">
        <f>K31+1</f>
        <v>2028</v>
      </c>
      <c r="M31" s="7">
        <f t="shared" si="14"/>
        <v>2029</v>
      </c>
      <c r="N31" s="7">
        <f t="shared" si="14"/>
        <v>2030</v>
      </c>
    </row>
    <row r="32" spans="1:14" x14ac:dyDescent="0.25">
      <c r="A32" s="10"/>
      <c r="B32" s="10" t="s">
        <v>33</v>
      </c>
      <c r="C32" s="10"/>
      <c r="D32" s="10"/>
      <c r="E32" s="11">
        <f>'04_Segment Financials'!C13</f>
        <v>4006</v>
      </c>
      <c r="F32" s="11">
        <f>'04_Segment Financials'!D13</f>
        <v>4005</v>
      </c>
      <c r="G32" s="11">
        <f>'04_Segment Financials'!E13</f>
        <v>4211</v>
      </c>
      <c r="H32" s="11">
        <f>'04_Segment Financials'!F13</f>
        <v>4379</v>
      </c>
      <c r="I32" s="11">
        <f>'04_Segment Financials'!G13</f>
        <v>4480</v>
      </c>
      <c r="J32" s="88">
        <f>J22*E15</f>
        <v>4548.9762499999997</v>
      </c>
      <c r="K32" s="18">
        <f t="shared" ref="K32:N32" si="15">K22*F15</f>
        <v>4577.9337330999997</v>
      </c>
      <c r="L32" s="18">
        <f t="shared" si="15"/>
        <v>4588.5185509799994</v>
      </c>
      <c r="M32" s="18">
        <f t="shared" si="15"/>
        <v>4625.2266993878393</v>
      </c>
      <c r="N32" s="18">
        <f t="shared" si="15"/>
        <v>4914.3033680995795</v>
      </c>
    </row>
    <row r="33" spans="1:14" x14ac:dyDescent="0.25">
      <c r="A33" s="10"/>
      <c r="B33" s="12" t="s">
        <v>29</v>
      </c>
      <c r="C33" s="10"/>
      <c r="D33" s="10"/>
      <c r="E33" s="13">
        <f>E32/E$22</f>
        <v>0.16656964656964657</v>
      </c>
      <c r="F33" s="13">
        <f t="shared" ref="F33:N33" si="16">F32/F$22</f>
        <v>0.16343603346255867</v>
      </c>
      <c r="G33" s="13">
        <f t="shared" si="16"/>
        <v>0.16718942311509907</v>
      </c>
      <c r="H33" s="13">
        <f t="shared" si="16"/>
        <v>0.1703162070709035</v>
      </c>
      <c r="I33" s="13">
        <f t="shared" si="16"/>
        <v>0.17493166731745413</v>
      </c>
      <c r="J33" s="106">
        <f t="shared" si="16"/>
        <v>0.17500000000000002</v>
      </c>
      <c r="K33" s="13">
        <f t="shared" si="16"/>
        <v>0.17299999999999999</v>
      </c>
      <c r="L33" s="13">
        <f t="shared" si="16"/>
        <v>0.16999999999999998</v>
      </c>
      <c r="M33" s="13">
        <f t="shared" si="16"/>
        <v>0.16799999999999998</v>
      </c>
      <c r="N33" s="13">
        <f t="shared" si="16"/>
        <v>0.17499999999999999</v>
      </c>
    </row>
    <row r="34" spans="1:14" x14ac:dyDescent="0.25">
      <c r="A34" s="10"/>
      <c r="B34" s="10"/>
      <c r="C34" s="10"/>
      <c r="D34" s="10"/>
      <c r="E34" s="18"/>
      <c r="F34" s="18"/>
      <c r="G34" s="18"/>
      <c r="H34" s="18"/>
      <c r="I34" s="19"/>
      <c r="J34" s="18"/>
      <c r="K34" s="18"/>
      <c r="L34" s="18"/>
      <c r="M34" s="18"/>
      <c r="N34" s="18"/>
    </row>
    <row r="35" spans="1:14" x14ac:dyDescent="0.25">
      <c r="A35" s="10"/>
      <c r="B35" s="10" t="s">
        <v>10</v>
      </c>
      <c r="C35" s="10"/>
      <c r="D35" s="10"/>
      <c r="E35" s="11">
        <f>'04_Segment Financials'!C15</f>
        <v>4119</v>
      </c>
      <c r="F35" s="11">
        <f>'04_Segment Financials'!D15</f>
        <v>4399</v>
      </c>
      <c r="G35" s="11">
        <f>'04_Segment Financials'!E15</f>
        <v>4587</v>
      </c>
      <c r="H35" s="11">
        <f>'04_Segment Financials'!F15</f>
        <v>4782</v>
      </c>
      <c r="I35" s="11">
        <f>'04_Segment Financials'!G15</f>
        <v>4870</v>
      </c>
      <c r="J35" s="88">
        <f>J22*E16</f>
        <v>4938.8885</v>
      </c>
      <c r="K35" s="18">
        <f t="shared" ref="K35:N35" si="17">K22*F16</f>
        <v>4974.8644035999996</v>
      </c>
      <c r="L35" s="18">
        <f t="shared" si="17"/>
        <v>4993.3878348899998</v>
      </c>
      <c r="M35" s="18">
        <f t="shared" si="17"/>
        <v>4955.600035058399</v>
      </c>
      <c r="N35" s="18">
        <f t="shared" si="17"/>
        <v>4914.3033680995795</v>
      </c>
    </row>
    <row r="36" spans="1:14" x14ac:dyDescent="0.25">
      <c r="A36" s="10"/>
      <c r="B36" s="12" t="s">
        <v>29</v>
      </c>
      <c r="C36" s="10"/>
      <c r="D36" s="10"/>
      <c r="E36" s="13">
        <f t="shared" ref="E36:N36" si="18">E35/E$22</f>
        <v>0.17126819126819126</v>
      </c>
      <c r="F36" s="13">
        <f t="shared" si="18"/>
        <v>0.17951438481942461</v>
      </c>
      <c r="G36" s="13">
        <f t="shared" si="18"/>
        <v>0.18211775916147219</v>
      </c>
      <c r="H36" s="13">
        <f t="shared" si="18"/>
        <v>0.18599043211076971</v>
      </c>
      <c r="I36" s="14">
        <f t="shared" si="18"/>
        <v>0.19016009371339321</v>
      </c>
      <c r="J36" s="15">
        <f t="shared" si="18"/>
        <v>0.19000000000000003</v>
      </c>
      <c r="K36" s="15">
        <f t="shared" si="18"/>
        <v>0.188</v>
      </c>
      <c r="L36" s="15">
        <f t="shared" si="18"/>
        <v>0.185</v>
      </c>
      <c r="M36" s="15">
        <f t="shared" si="18"/>
        <v>0.18</v>
      </c>
      <c r="N36" s="15">
        <f t="shared" si="18"/>
        <v>0.17499999999999999</v>
      </c>
    </row>
    <row r="37" spans="1:14" x14ac:dyDescent="0.25">
      <c r="A37" s="10"/>
      <c r="B37" s="10"/>
      <c r="C37" s="10"/>
      <c r="D37" s="10"/>
      <c r="E37" s="18"/>
      <c r="F37" s="18"/>
      <c r="G37" s="18"/>
      <c r="H37" s="18"/>
      <c r="I37" s="19"/>
      <c r="J37" s="18"/>
      <c r="K37" s="18"/>
      <c r="L37" s="18"/>
      <c r="M37" s="18"/>
      <c r="N37" s="18"/>
    </row>
    <row r="38" spans="1:14" x14ac:dyDescent="0.25">
      <c r="A38" s="10"/>
      <c r="B38" s="10" t="s">
        <v>34</v>
      </c>
      <c r="C38" s="10"/>
      <c r="D38" s="10"/>
      <c r="E38" s="102" t="s">
        <v>68</v>
      </c>
      <c r="F38" s="20">
        <f>'04_Segment Financials'!D55</f>
        <v>-0.94696854486164739</v>
      </c>
      <c r="G38" s="20">
        <f>'04_Segment Financials'!E55</f>
        <v>282.89998944601405</v>
      </c>
      <c r="H38" s="20">
        <f>'04_Segment Financials'!F55</f>
        <v>417.40318740807515</v>
      </c>
      <c r="I38" s="20">
        <f>'04_Segment Financials'!G55</f>
        <v>220.88447435445482</v>
      </c>
      <c r="J38" s="88">
        <f>J22*E17</f>
        <v>311.9298</v>
      </c>
      <c r="K38" s="18">
        <f t="shared" ref="K38:N38" si="19">K22*F17</f>
        <v>317.54453639999997</v>
      </c>
      <c r="L38" s="18">
        <f t="shared" si="19"/>
        <v>323.89542712799999</v>
      </c>
      <c r="M38" s="18">
        <f t="shared" si="19"/>
        <v>330.37333567055998</v>
      </c>
      <c r="N38" s="18">
        <f t="shared" si="19"/>
        <v>336.9808023839712</v>
      </c>
    </row>
    <row r="39" spans="1:14" x14ac:dyDescent="0.25">
      <c r="A39" s="10"/>
      <c r="B39" s="12" t="s">
        <v>29</v>
      </c>
      <c r="C39" s="10"/>
      <c r="D39" s="10"/>
      <c r="E39" s="101"/>
      <c r="F39" s="21">
        <f t="shared" ref="F39:N39" si="20">F38/F$22</f>
        <v>-3.8643890832958475E-5</v>
      </c>
      <c r="G39" s="21">
        <f t="shared" si="20"/>
        <v>1.1231984335014652E-2</v>
      </c>
      <c r="H39" s="21">
        <f t="shared" si="20"/>
        <v>1.6234420575165304E-2</v>
      </c>
      <c r="I39" s="22">
        <f t="shared" si="20"/>
        <v>8.6249306659295123E-3</v>
      </c>
      <c r="J39" s="103">
        <f t="shared" si="20"/>
        <v>1.2E-2</v>
      </c>
      <c r="K39" s="103">
        <f t="shared" si="20"/>
        <v>1.2E-2</v>
      </c>
      <c r="L39" s="103">
        <f t="shared" si="20"/>
        <v>1.2E-2</v>
      </c>
      <c r="M39" s="103">
        <f t="shared" si="20"/>
        <v>1.2E-2</v>
      </c>
      <c r="N39" s="103">
        <f t="shared" si="20"/>
        <v>1.2E-2</v>
      </c>
    </row>
    <row r="40" spans="1:14" x14ac:dyDescent="0.25">
      <c r="I40" s="23"/>
      <c r="J40" s="104">
        <v>1</v>
      </c>
      <c r="K40" s="104">
        <f>J40+1</f>
        <v>2</v>
      </c>
      <c r="L40" s="104">
        <f>K40+1</f>
        <v>3</v>
      </c>
      <c r="M40" s="104">
        <f t="shared" ref="M40:N40" si="21">L40+1</f>
        <v>4</v>
      </c>
      <c r="N40" s="104">
        <f t="shared" si="21"/>
        <v>5</v>
      </c>
    </row>
    <row r="41" spans="1:14" x14ac:dyDescent="0.25">
      <c r="A41" t="s">
        <v>20</v>
      </c>
      <c r="B41" s="7" t="s">
        <v>2</v>
      </c>
      <c r="C41" s="8"/>
      <c r="D41" s="8"/>
      <c r="E41" s="7">
        <v>2021</v>
      </c>
      <c r="F41" s="7">
        <f>E41+1</f>
        <v>2022</v>
      </c>
      <c r="G41" s="7">
        <f t="shared" ref="G41:N41" si="22">F41+1</f>
        <v>2023</v>
      </c>
      <c r="H41" s="7">
        <f t="shared" si="22"/>
        <v>2024</v>
      </c>
      <c r="I41" s="7">
        <f t="shared" si="22"/>
        <v>2025</v>
      </c>
      <c r="J41" s="7">
        <f t="shared" si="22"/>
        <v>2026</v>
      </c>
      <c r="K41" s="7">
        <f>J41+1</f>
        <v>2027</v>
      </c>
      <c r="L41" s="7">
        <f>K41+1</f>
        <v>2028</v>
      </c>
      <c r="M41" s="7">
        <f t="shared" si="22"/>
        <v>2029</v>
      </c>
      <c r="N41" s="7">
        <f t="shared" si="22"/>
        <v>2030</v>
      </c>
    </row>
    <row r="42" spans="1:14" x14ac:dyDescent="0.25">
      <c r="B42" t="s">
        <v>26</v>
      </c>
      <c r="E42" s="24">
        <f>E22</f>
        <v>24050</v>
      </c>
      <c r="F42" s="24">
        <f>F22</f>
        <v>24505</v>
      </c>
      <c r="G42" s="24">
        <f>G22</f>
        <v>25187</v>
      </c>
      <c r="H42" s="24">
        <f>H22</f>
        <v>25711</v>
      </c>
      <c r="I42" s="25">
        <f>I22</f>
        <v>25610</v>
      </c>
      <c r="J42" s="24">
        <f>I42*(1+J43)</f>
        <v>25994.149999999998</v>
      </c>
      <c r="K42" s="24">
        <f>J42*(1+K43)</f>
        <v>26462.044699999999</v>
      </c>
      <c r="L42" s="24">
        <f>K42*(1+L43)</f>
        <v>26991.285593999997</v>
      </c>
      <c r="M42" s="24">
        <f t="shared" ref="M42:N42" si="23">L42*(1+M43)</f>
        <v>27531.111305879997</v>
      </c>
      <c r="N42" s="24">
        <f t="shared" si="23"/>
        <v>28081.733531997597</v>
      </c>
    </row>
    <row r="43" spans="1:14" x14ac:dyDescent="0.25">
      <c r="B43" s="26" t="s">
        <v>27</v>
      </c>
      <c r="E43" s="27"/>
      <c r="F43" s="27">
        <f>F42/E42-1</f>
        <v>1.8918918918918948E-2</v>
      </c>
      <c r="G43" s="27">
        <f>G42/F42-1</f>
        <v>2.7831054886757745E-2</v>
      </c>
      <c r="H43" s="27">
        <f>H42/G42-1</f>
        <v>2.0804383213562483E-2</v>
      </c>
      <c r="I43" s="28">
        <f>I42/H42-1</f>
        <v>-3.9282797246315004E-3</v>
      </c>
      <c r="J43" s="111">
        <f>J23</f>
        <v>1.4999999999999902E-2</v>
      </c>
      <c r="K43" s="111">
        <f>K23</f>
        <v>1.8000000000000016E-2</v>
      </c>
      <c r="L43" s="111">
        <f>L23</f>
        <v>2.0000000000000018E-2</v>
      </c>
      <c r="M43" s="111">
        <f>M23</f>
        <v>2.0000000000000018E-2</v>
      </c>
      <c r="N43" s="111">
        <f>N23</f>
        <v>2.0000000000000018E-2</v>
      </c>
    </row>
    <row r="44" spans="1:14" x14ac:dyDescent="0.25">
      <c r="I44" s="23"/>
    </row>
    <row r="45" spans="1:14" x14ac:dyDescent="0.25">
      <c r="B45" t="s">
        <v>28</v>
      </c>
      <c r="E45" s="24">
        <f>E25</f>
        <v>5530</v>
      </c>
      <c r="F45" s="24">
        <f>F25</f>
        <v>5832</v>
      </c>
      <c r="G45" s="24">
        <f>G25</f>
        <v>6027</v>
      </c>
      <c r="H45" s="24">
        <f>H25</f>
        <v>6137</v>
      </c>
      <c r="I45" s="25">
        <f>I25</f>
        <v>6214</v>
      </c>
      <c r="J45" s="24">
        <f>J46*J42</f>
        <v>5978.6544999999996</v>
      </c>
      <c r="K45" s="24">
        <f>K46*K42</f>
        <v>6139.1943703999996</v>
      </c>
      <c r="L45" s="24">
        <f>L46*L42</f>
        <v>6315.9608289959997</v>
      </c>
      <c r="M45" s="24">
        <f>M46*M42</f>
        <v>6469.8111568817985</v>
      </c>
      <c r="N45" s="24">
        <f>N46*N42</f>
        <v>6599.2073800194348</v>
      </c>
    </row>
    <row r="46" spans="1:14" x14ac:dyDescent="0.25">
      <c r="B46" s="26" t="s">
        <v>35</v>
      </c>
      <c r="E46" s="27">
        <f>E45/E42</f>
        <v>0.22993762993762995</v>
      </c>
      <c r="F46" s="27">
        <f>F45/F42</f>
        <v>0.23799224648031014</v>
      </c>
      <c r="G46" s="27">
        <f>G45/G42</f>
        <v>0.23929010997736927</v>
      </c>
      <c r="H46" s="27">
        <f>H45/H42</f>
        <v>0.2386916105946871</v>
      </c>
      <c r="I46" s="28">
        <f>I45/I42</f>
        <v>0.24263959390862944</v>
      </c>
      <c r="J46" s="111">
        <f>J26</f>
        <v>0.23</v>
      </c>
      <c r="K46" s="111">
        <f>K26</f>
        <v>0.23199999999999998</v>
      </c>
      <c r="L46" s="111">
        <f>L26</f>
        <v>0.23400000000000001</v>
      </c>
      <c r="M46" s="111">
        <f>M26</f>
        <v>0.23499999999999999</v>
      </c>
      <c r="N46" s="111">
        <f>N26</f>
        <v>0.23499999999999999</v>
      </c>
    </row>
    <row r="47" spans="1:14" x14ac:dyDescent="0.25">
      <c r="I47" s="23"/>
      <c r="K47" s="110"/>
      <c r="L47" s="29"/>
    </row>
    <row r="48" spans="1:14" x14ac:dyDescent="0.25">
      <c r="B48" t="s">
        <v>30</v>
      </c>
      <c r="E48" s="24">
        <f>E28</f>
        <v>1714.3</v>
      </c>
      <c r="F48" s="24">
        <f>F28</f>
        <v>1807.92</v>
      </c>
      <c r="G48" s="24">
        <f>G28</f>
        <v>1868.37</v>
      </c>
      <c r="H48" s="24">
        <f>H28</f>
        <v>1902.47</v>
      </c>
      <c r="I48" s="25">
        <f>I28</f>
        <v>1926.34</v>
      </c>
      <c r="J48" s="24">
        <f>J49*J45</f>
        <v>1853.382895</v>
      </c>
      <c r="K48" s="24">
        <f>K49*K45</f>
        <v>1903.1502548239998</v>
      </c>
      <c r="L48" s="24">
        <f>L49*L45</f>
        <v>1957.9478569887599</v>
      </c>
      <c r="M48" s="24">
        <f>M49*M45</f>
        <v>2005.6414586333576</v>
      </c>
      <c r="N48" s="24">
        <f>N49*N45</f>
        <v>2045.7542878060249</v>
      </c>
    </row>
    <row r="49" spans="2:14" x14ac:dyDescent="0.25">
      <c r="B49" s="26" t="s">
        <v>31</v>
      </c>
      <c r="E49" s="27">
        <f>E48/E45</f>
        <v>0.31</v>
      </c>
      <c r="F49" s="27">
        <f>F48/F45</f>
        <v>0.31</v>
      </c>
      <c r="G49" s="27">
        <f>G48/G45</f>
        <v>0.31</v>
      </c>
      <c r="H49" s="27">
        <f>H48/H45</f>
        <v>0.31</v>
      </c>
      <c r="I49" s="28">
        <f>I48/I45</f>
        <v>0.31</v>
      </c>
      <c r="J49" s="111">
        <f>J29</f>
        <v>0.31</v>
      </c>
      <c r="K49" s="111">
        <f>K29</f>
        <v>0.31</v>
      </c>
      <c r="L49" s="111">
        <f>L29</f>
        <v>0.31</v>
      </c>
      <c r="M49" s="111">
        <f>M29</f>
        <v>0.31</v>
      </c>
      <c r="N49" s="111">
        <f>N29</f>
        <v>0.31</v>
      </c>
    </row>
    <row r="50" spans="2:14" x14ac:dyDescent="0.25">
      <c r="I50" s="23"/>
    </row>
    <row r="51" spans="2:14" x14ac:dyDescent="0.25">
      <c r="B51" s="30" t="s">
        <v>59</v>
      </c>
      <c r="C51" s="31"/>
      <c r="D51" s="31"/>
      <c r="E51" s="31"/>
      <c r="F51" s="31"/>
      <c r="G51" s="31"/>
      <c r="H51" s="31"/>
      <c r="I51" s="32"/>
      <c r="J51" s="33">
        <f>J45-J48</f>
        <v>4125.2716049999999</v>
      </c>
      <c r="K51" s="33">
        <f>K45-K48</f>
        <v>4236.044115576</v>
      </c>
      <c r="L51" s="33">
        <f>L45-L48</f>
        <v>4358.01297200724</v>
      </c>
      <c r="M51" s="33">
        <f>M45-M48</f>
        <v>4464.1696982484409</v>
      </c>
      <c r="N51" s="34">
        <f>N45-N48</f>
        <v>4553.4530922134099</v>
      </c>
    </row>
    <row r="52" spans="2:14" x14ac:dyDescent="0.25">
      <c r="I52" s="23"/>
      <c r="K52" s="35"/>
    </row>
    <row r="53" spans="2:14" x14ac:dyDescent="0.25">
      <c r="B53" t="s">
        <v>33</v>
      </c>
      <c r="E53" s="24">
        <f t="shared" ref="E53:N53" si="24">E32</f>
        <v>4006</v>
      </c>
      <c r="F53" s="24">
        <f t="shared" si="24"/>
        <v>4005</v>
      </c>
      <c r="G53" s="24">
        <f t="shared" si="24"/>
        <v>4211</v>
      </c>
      <c r="H53" s="24">
        <f t="shared" si="24"/>
        <v>4379</v>
      </c>
      <c r="I53" s="25">
        <f t="shared" si="24"/>
        <v>4480</v>
      </c>
      <c r="J53" s="24">
        <f t="shared" si="24"/>
        <v>4548.9762499999997</v>
      </c>
      <c r="K53" s="24">
        <f t="shared" si="24"/>
        <v>4577.9337330999997</v>
      </c>
      <c r="L53" s="24">
        <f t="shared" si="24"/>
        <v>4588.5185509799994</v>
      </c>
      <c r="M53" s="24">
        <f t="shared" si="24"/>
        <v>4625.2266993878393</v>
      </c>
      <c r="N53" s="24">
        <f t="shared" si="24"/>
        <v>4914.3033680995795</v>
      </c>
    </row>
    <row r="54" spans="2:14" x14ac:dyDescent="0.25">
      <c r="B54" s="26" t="s">
        <v>29</v>
      </c>
      <c r="E54" s="27">
        <f t="shared" ref="E54:N54" si="25">E53/E$42</f>
        <v>0.16656964656964657</v>
      </c>
      <c r="F54" s="27">
        <f t="shared" si="25"/>
        <v>0.16343603346255867</v>
      </c>
      <c r="G54" s="27">
        <f t="shared" si="25"/>
        <v>0.16718942311509907</v>
      </c>
      <c r="H54" s="27">
        <f t="shared" si="25"/>
        <v>0.1703162070709035</v>
      </c>
      <c r="I54" s="28">
        <f t="shared" si="25"/>
        <v>0.17493166731745413</v>
      </c>
      <c r="J54" s="36">
        <f t="shared" si="25"/>
        <v>0.17500000000000002</v>
      </c>
      <c r="K54" s="36">
        <f t="shared" si="25"/>
        <v>0.17299999999999999</v>
      </c>
      <c r="L54" s="36">
        <f t="shared" si="25"/>
        <v>0.16999999999999998</v>
      </c>
      <c r="M54" s="36">
        <f t="shared" si="25"/>
        <v>0.16799999999999998</v>
      </c>
      <c r="N54" s="36">
        <f t="shared" si="25"/>
        <v>0.17499999999999999</v>
      </c>
    </row>
    <row r="55" spans="2:14" x14ac:dyDescent="0.25">
      <c r="I55" s="23"/>
    </row>
    <row r="56" spans="2:14" x14ac:dyDescent="0.25">
      <c r="B56" t="s">
        <v>10</v>
      </c>
      <c r="E56" s="24">
        <f t="shared" ref="E56:N56" si="26">E35</f>
        <v>4119</v>
      </c>
      <c r="F56" s="24">
        <f t="shared" si="26"/>
        <v>4399</v>
      </c>
      <c r="G56" s="24">
        <f t="shared" si="26"/>
        <v>4587</v>
      </c>
      <c r="H56" s="24">
        <f t="shared" si="26"/>
        <v>4782</v>
      </c>
      <c r="I56" s="25">
        <f t="shared" si="26"/>
        <v>4870</v>
      </c>
      <c r="J56" s="24">
        <f t="shared" si="26"/>
        <v>4938.8885</v>
      </c>
      <c r="K56" s="24">
        <f t="shared" si="26"/>
        <v>4974.8644035999996</v>
      </c>
      <c r="L56" s="24">
        <f t="shared" si="26"/>
        <v>4993.3878348899998</v>
      </c>
      <c r="M56" s="24">
        <f t="shared" si="26"/>
        <v>4955.600035058399</v>
      </c>
      <c r="N56" s="24">
        <f t="shared" si="26"/>
        <v>4914.3033680995795</v>
      </c>
    </row>
    <row r="57" spans="2:14" x14ac:dyDescent="0.25">
      <c r="B57" s="26" t="s">
        <v>29</v>
      </c>
      <c r="E57" s="27">
        <f t="shared" ref="E57:N57" si="27">E56/E$42</f>
        <v>0.17126819126819126</v>
      </c>
      <c r="F57" s="27">
        <f t="shared" si="27"/>
        <v>0.17951438481942461</v>
      </c>
      <c r="G57" s="27">
        <f t="shared" si="27"/>
        <v>0.18211775916147219</v>
      </c>
      <c r="H57" s="27">
        <f t="shared" si="27"/>
        <v>0.18599043211076971</v>
      </c>
      <c r="I57" s="28">
        <f t="shared" si="27"/>
        <v>0.19016009371339321</v>
      </c>
      <c r="J57" s="36">
        <f t="shared" si="27"/>
        <v>0.19000000000000003</v>
      </c>
      <c r="K57" s="36">
        <f t="shared" si="27"/>
        <v>0.188</v>
      </c>
      <c r="L57" s="36">
        <f t="shared" si="27"/>
        <v>0.185</v>
      </c>
      <c r="M57" s="36">
        <f t="shared" si="27"/>
        <v>0.18</v>
      </c>
      <c r="N57" s="36">
        <f t="shared" si="27"/>
        <v>0.17499999999999999</v>
      </c>
    </row>
    <row r="58" spans="2:14" x14ac:dyDescent="0.25">
      <c r="I58" s="23"/>
    </row>
    <row r="59" spans="2:14" x14ac:dyDescent="0.25">
      <c r="B59" t="s">
        <v>34</v>
      </c>
      <c r="E59" s="105" t="str">
        <f>E38</f>
        <v>-</v>
      </c>
      <c r="F59" s="37">
        <f>F38</f>
        <v>-0.94696854486164739</v>
      </c>
      <c r="G59" s="37">
        <f>G38</f>
        <v>282.89998944601405</v>
      </c>
      <c r="H59" s="37">
        <f>H38</f>
        <v>417.40318740807515</v>
      </c>
      <c r="I59" s="38">
        <f>I38</f>
        <v>220.88447435445482</v>
      </c>
      <c r="J59" s="37">
        <v>311.9298</v>
      </c>
      <c r="K59" s="37">
        <v>317.54453639999997</v>
      </c>
      <c r="L59" s="37">
        <v>323.89542712799999</v>
      </c>
      <c r="M59" s="37">
        <v>330.37333567055998</v>
      </c>
      <c r="N59" s="37">
        <v>336.9808023839712</v>
      </c>
    </row>
    <row r="60" spans="2:14" x14ac:dyDescent="0.25">
      <c r="B60" s="26" t="s">
        <v>29</v>
      </c>
      <c r="E60" s="21"/>
      <c r="F60" s="21">
        <f>F59/F$42</f>
        <v>-3.8643890832958475E-5</v>
      </c>
      <c r="G60" s="21">
        <f t="shared" ref="G60:N60" si="28">G59/G$42</f>
        <v>1.1231984335014652E-2</v>
      </c>
      <c r="H60" s="21">
        <f t="shared" si="28"/>
        <v>1.6234420575165304E-2</v>
      </c>
      <c r="I60" s="21">
        <f t="shared" si="28"/>
        <v>8.6249306659295123E-3</v>
      </c>
      <c r="J60" s="109">
        <f t="shared" si="28"/>
        <v>1.2E-2</v>
      </c>
      <c r="K60" s="21">
        <f t="shared" si="28"/>
        <v>1.2E-2</v>
      </c>
      <c r="L60" s="21">
        <f t="shared" si="28"/>
        <v>1.2E-2</v>
      </c>
      <c r="M60" s="21">
        <f t="shared" si="28"/>
        <v>1.2E-2</v>
      </c>
      <c r="N60" s="21">
        <f t="shared" si="28"/>
        <v>1.2E-2</v>
      </c>
    </row>
    <row r="61" spans="2:14" x14ac:dyDescent="0.25">
      <c r="I61" s="40"/>
    </row>
    <row r="62" spans="2:14" x14ac:dyDescent="0.25">
      <c r="B62" s="30" t="s">
        <v>36</v>
      </c>
      <c r="C62" s="31"/>
      <c r="D62" s="31"/>
      <c r="E62" s="31"/>
      <c r="F62" s="31"/>
      <c r="G62" s="31"/>
      <c r="H62" s="31"/>
      <c r="I62" s="32"/>
      <c r="J62" s="41">
        <f>J51+J53-J56-J59</f>
        <v>3423.4295549999997</v>
      </c>
      <c r="K62" s="41">
        <f t="shared" ref="K62:N62" si="29">K51+K53-K56-K59</f>
        <v>3521.5689086760012</v>
      </c>
      <c r="L62" s="41">
        <f t="shared" si="29"/>
        <v>3629.2482609692397</v>
      </c>
      <c r="M62" s="41">
        <f t="shared" si="29"/>
        <v>3803.4230269073205</v>
      </c>
      <c r="N62" s="42">
        <f t="shared" si="29"/>
        <v>4216.4722898294394</v>
      </c>
    </row>
    <row r="63" spans="2:14" x14ac:dyDescent="0.25">
      <c r="B63" s="30" t="s">
        <v>37</v>
      </c>
      <c r="C63" s="31"/>
      <c r="D63" s="31"/>
      <c r="E63" s="31"/>
      <c r="F63" s="31"/>
      <c r="G63" s="31"/>
      <c r="H63" s="31"/>
      <c r="I63" s="32"/>
      <c r="J63" s="41">
        <f>J62/(1+wacc)^J40</f>
        <v>3245.2763191300478</v>
      </c>
      <c r="K63" s="41">
        <f>K62/(1+wacc)^K40</f>
        <v>3164.5849693392474</v>
      </c>
      <c r="L63" s="41">
        <f>L62/(1+wacc)^L40</f>
        <v>3091.6301399583272</v>
      </c>
      <c r="M63" s="41">
        <f>M62/(1+wacc)^M40</f>
        <v>3071.3956983074399</v>
      </c>
      <c r="N63" s="42">
        <f>N62/(1+wacc)^N40</f>
        <v>3227.7558414600212</v>
      </c>
    </row>
    <row r="64" spans="2:14" x14ac:dyDescent="0.25">
      <c r="J64" s="43"/>
    </row>
    <row r="65" spans="1:15" x14ac:dyDescent="0.25">
      <c r="A65" t="s">
        <v>20</v>
      </c>
      <c r="B65" t="s">
        <v>38</v>
      </c>
      <c r="J65" s="43"/>
      <c r="N65" s="39">
        <f>(N62*(1+tgr))/(wacc-tgr)</f>
        <v>107271.43802565563</v>
      </c>
    </row>
    <row r="66" spans="1:15" x14ac:dyDescent="0.25">
      <c r="B66" s="3" t="s">
        <v>39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4">
        <f>N65/(1+wacc)^N40</f>
        <v>82117.463820243109</v>
      </c>
    </row>
    <row r="67" spans="1:15" x14ac:dyDescent="0.25">
      <c r="B67" s="9" t="s">
        <v>40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45">
        <f>SUM(J63:N63,N66)</f>
        <v>97918.106788438192</v>
      </c>
      <c r="O67" s="116" t="s">
        <v>90</v>
      </c>
    </row>
    <row r="68" spans="1:15" x14ac:dyDescent="0.25">
      <c r="B68" s="46" t="s">
        <v>41</v>
      </c>
      <c r="N68" s="112" t="s">
        <v>89</v>
      </c>
    </row>
    <row r="69" spans="1:15" x14ac:dyDescent="0.25">
      <c r="B69" s="47" t="s">
        <v>42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13" t="s">
        <v>89</v>
      </c>
    </row>
    <row r="70" spans="1:15" x14ac:dyDescent="0.25">
      <c r="B70" s="9" t="s">
        <v>43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45" t="e">
        <f>N67+N68-N69</f>
        <v>#VALUE!</v>
      </c>
    </row>
    <row r="71" spans="1:15" x14ac:dyDescent="0.25">
      <c r="B71" s="3" t="s">
        <v>44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14" t="s">
        <v>89</v>
      </c>
    </row>
    <row r="72" spans="1:15" x14ac:dyDescent="0.25">
      <c r="A72" t="s">
        <v>20</v>
      </c>
      <c r="B72" s="9" t="s">
        <v>45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48" t="e">
        <f>N70/N71</f>
        <v>#VALUE!</v>
      </c>
    </row>
    <row r="74" spans="1:15" x14ac:dyDescent="0.25">
      <c r="M74" s="140" t="s">
        <v>111</v>
      </c>
      <c r="N74" s="141">
        <f>N67/(I45+I53)</f>
        <v>9.1563593406057784</v>
      </c>
      <c r="O74" s="142" t="s">
        <v>20</v>
      </c>
    </row>
    <row r="75" spans="1:15" x14ac:dyDescent="0.25">
      <c r="B75" s="115"/>
      <c r="M75" s="143" t="s">
        <v>112</v>
      </c>
      <c r="N75" s="144">
        <f>N67/I22</f>
        <v>3.8234325180959856</v>
      </c>
      <c r="O75" s="145" t="s">
        <v>20</v>
      </c>
    </row>
    <row r="76" spans="1:15" x14ac:dyDescent="0.25">
      <c r="M76" s="146" t="s">
        <v>113</v>
      </c>
      <c r="N76" s="147">
        <f>N67/I25</f>
        <v>15.757661214747055</v>
      </c>
      <c r="O76" s="148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ECB4-1E8E-47C9-AE03-2194615445F4}">
  <dimension ref="A2:I22"/>
  <sheetViews>
    <sheetView showGridLines="0" workbookViewId="0"/>
  </sheetViews>
  <sheetFormatPr defaultRowHeight="15.75" x14ac:dyDescent="0.25"/>
  <cols>
    <col min="1" max="1" width="5" customWidth="1"/>
    <col min="4" max="4" width="14" customWidth="1"/>
  </cols>
  <sheetData>
    <row r="2" spans="1:9" s="3" customFormat="1" ht="21" x14ac:dyDescent="0.35">
      <c r="B2" s="6" t="s">
        <v>23</v>
      </c>
    </row>
    <row r="4" spans="1:9" x14ac:dyDescent="0.25">
      <c r="A4" t="s">
        <v>20</v>
      </c>
      <c r="B4" s="7" t="s">
        <v>23</v>
      </c>
      <c r="C4" s="8"/>
      <c r="D4" s="8"/>
      <c r="E4" s="8"/>
      <c r="F4" s="8"/>
      <c r="G4" s="8"/>
      <c r="H4" s="8"/>
      <c r="I4" s="8"/>
    </row>
    <row r="5" spans="1:9" x14ac:dyDescent="0.25">
      <c r="B5" s="85" t="s">
        <v>47</v>
      </c>
    </row>
    <row r="6" spans="1:9" x14ac:dyDescent="0.25">
      <c r="B6" s="85" t="s">
        <v>48</v>
      </c>
    </row>
    <row r="8" spans="1:9" x14ac:dyDescent="0.25">
      <c r="B8" s="56" t="s">
        <v>49</v>
      </c>
      <c r="C8" s="56"/>
      <c r="D8" s="117">
        <v>143603000000</v>
      </c>
    </row>
    <row r="9" spans="1:9" x14ac:dyDescent="0.25">
      <c r="B9" s="56" t="s">
        <v>50</v>
      </c>
      <c r="C9" s="56"/>
      <c r="D9" s="74">
        <f>D8/D20</f>
        <v>0.51414771771158918</v>
      </c>
    </row>
    <row r="10" spans="1:9" x14ac:dyDescent="0.25">
      <c r="B10" s="75" t="s">
        <v>51</v>
      </c>
      <c r="C10" s="56"/>
      <c r="D10" s="83">
        <v>5.0999999999999997E-2</v>
      </c>
    </row>
    <row r="11" spans="1:9" x14ac:dyDescent="0.25">
      <c r="B11" s="56" t="s">
        <v>52</v>
      </c>
      <c r="C11" s="56"/>
      <c r="D11" s="83">
        <v>0.25</v>
      </c>
    </row>
    <row r="12" spans="1:9" x14ac:dyDescent="0.25">
      <c r="B12" s="56"/>
      <c r="C12" s="56"/>
      <c r="D12" s="56"/>
    </row>
    <row r="13" spans="1:9" x14ac:dyDescent="0.25">
      <c r="B13" s="56" t="s">
        <v>43</v>
      </c>
      <c r="C13" s="56"/>
      <c r="D13" s="57">
        <v>135699999999.99998</v>
      </c>
    </row>
    <row r="14" spans="1:9" x14ac:dyDescent="0.25">
      <c r="B14" s="56" t="s">
        <v>53</v>
      </c>
      <c r="C14" s="56"/>
      <c r="D14" s="118">
        <f>D13/D20</f>
        <v>0.48585228228841076</v>
      </c>
    </row>
    <row r="15" spans="1:9" x14ac:dyDescent="0.25">
      <c r="B15" s="56" t="s">
        <v>54</v>
      </c>
      <c r="C15" s="56"/>
      <c r="D15" s="76">
        <f>D16+D17*D18</f>
        <v>7.5749999999999998E-2</v>
      </c>
    </row>
    <row r="16" spans="1:9" x14ac:dyDescent="0.25">
      <c r="B16" s="56" t="s">
        <v>55</v>
      </c>
      <c r="C16" s="56"/>
      <c r="D16" s="83">
        <v>2.9000000000000001E-2</v>
      </c>
    </row>
    <row r="17" spans="1:4" x14ac:dyDescent="0.25">
      <c r="B17" s="56" t="s">
        <v>56</v>
      </c>
      <c r="C17" s="56"/>
      <c r="D17" s="84">
        <v>0.85</v>
      </c>
    </row>
    <row r="18" spans="1:4" x14ac:dyDescent="0.25">
      <c r="B18" s="56" t="s">
        <v>57</v>
      </c>
      <c r="C18" s="56"/>
      <c r="D18" s="83">
        <v>5.5E-2</v>
      </c>
    </row>
    <row r="19" spans="1:4" x14ac:dyDescent="0.25">
      <c r="B19" s="56"/>
      <c r="C19" s="56"/>
      <c r="D19" s="56"/>
    </row>
    <row r="20" spans="1:4" x14ac:dyDescent="0.25">
      <c r="B20" s="77" t="s">
        <v>58</v>
      </c>
      <c r="C20" s="77"/>
      <c r="D20" s="78">
        <f>D8+D13</f>
        <v>279303000000</v>
      </c>
    </row>
    <row r="21" spans="1:4" x14ac:dyDescent="0.25">
      <c r="B21" s="56"/>
      <c r="C21" s="56"/>
      <c r="D21" s="56"/>
    </row>
    <row r="22" spans="1:4" x14ac:dyDescent="0.25">
      <c r="A22" t="s">
        <v>20</v>
      </c>
      <c r="B22" s="49" t="s">
        <v>23</v>
      </c>
      <c r="C22" s="79"/>
      <c r="D22" s="50">
        <f>(D9*D10*(1-D11))+(D14*D15)</f>
        <v>5.6469460585815402E-2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A0EE-AA9D-46CD-ABC7-A7AFC2639BE1}">
  <dimension ref="A2:Q76"/>
  <sheetViews>
    <sheetView showGridLines="0" workbookViewId="0"/>
  </sheetViews>
  <sheetFormatPr defaultRowHeight="15.75" x14ac:dyDescent="0.25"/>
  <cols>
    <col min="1" max="1" width="4.5" customWidth="1"/>
    <col min="13" max="13" width="9.25" customWidth="1"/>
    <col min="15" max="15" width="1.875" customWidth="1"/>
  </cols>
  <sheetData>
    <row r="2" spans="1:14" s="3" customFormat="1" ht="21" x14ac:dyDescent="0.35">
      <c r="B2" s="6" t="s">
        <v>91</v>
      </c>
    </row>
    <row r="5" spans="1:14" x14ac:dyDescent="0.25">
      <c r="A5" t="s">
        <v>20</v>
      </c>
      <c r="B5" s="7" t="s">
        <v>21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B6" s="9" t="s">
        <v>22</v>
      </c>
    </row>
    <row r="7" spans="1:14" x14ac:dyDescent="0.25">
      <c r="B7" s="61" t="s">
        <v>23</v>
      </c>
      <c r="C7" s="61"/>
      <c r="D7" s="86">
        <f>'WACC Europe'!D22</f>
        <v>5.6469460585815402E-2</v>
      </c>
    </row>
    <row r="8" spans="1:14" x14ac:dyDescent="0.25">
      <c r="B8" s="61" t="s">
        <v>24</v>
      </c>
      <c r="C8" s="61"/>
      <c r="D8" s="82">
        <v>1.4999999999999999E-2</v>
      </c>
    </row>
    <row r="9" spans="1:14" x14ac:dyDescent="0.25">
      <c r="B9" s="61" t="s">
        <v>52</v>
      </c>
      <c r="C9" s="61"/>
      <c r="D9" s="82">
        <v>0.25</v>
      </c>
    </row>
    <row r="11" spans="1:14" x14ac:dyDescent="0.25">
      <c r="B11" s="63" t="s">
        <v>69</v>
      </c>
    </row>
    <row r="12" spans="1:14" x14ac:dyDescent="0.25">
      <c r="B12" s="80" t="s">
        <v>62</v>
      </c>
      <c r="C12" s="80"/>
      <c r="D12" s="80"/>
      <c r="E12" s="81" t="s">
        <v>71</v>
      </c>
      <c r="F12" s="81" t="s">
        <v>72</v>
      </c>
      <c r="G12" s="81" t="s">
        <v>73</v>
      </c>
      <c r="H12" s="81" t="s">
        <v>74</v>
      </c>
      <c r="I12" s="81" t="s">
        <v>75</v>
      </c>
    </row>
    <row r="13" spans="1:14" x14ac:dyDescent="0.25">
      <c r="B13" s="61" t="s">
        <v>65</v>
      </c>
      <c r="C13" s="61"/>
      <c r="D13" s="61"/>
      <c r="E13" s="89">
        <v>2.5000000000000001E-2</v>
      </c>
      <c r="F13" s="89">
        <v>2.5000000000000001E-2</v>
      </c>
      <c r="G13" s="89">
        <v>0.02</v>
      </c>
      <c r="H13" s="89">
        <v>0.02</v>
      </c>
      <c r="I13" s="89">
        <v>0.02</v>
      </c>
      <c r="K13" s="115"/>
    </row>
    <row r="14" spans="1:14" x14ac:dyDescent="0.25">
      <c r="B14" s="61" t="s">
        <v>16</v>
      </c>
      <c r="C14" s="61"/>
      <c r="D14" s="61"/>
      <c r="E14" s="89">
        <v>0.2</v>
      </c>
      <c r="F14" s="89">
        <v>0.20300000000000001</v>
      </c>
      <c r="G14" s="89">
        <v>0.20599999999999999</v>
      </c>
      <c r="H14" s="89">
        <v>0.20799999999999999</v>
      </c>
      <c r="I14" s="89">
        <v>0.21</v>
      </c>
    </row>
    <row r="15" spans="1:14" x14ac:dyDescent="0.25">
      <c r="B15" s="61" t="s">
        <v>76</v>
      </c>
      <c r="C15" s="61"/>
      <c r="D15" s="61"/>
      <c r="E15" s="89">
        <v>0.19500000000000001</v>
      </c>
      <c r="F15" s="89">
        <v>0.19</v>
      </c>
      <c r="G15" s="89">
        <v>0.185</v>
      </c>
      <c r="H15" s="89">
        <v>0.18</v>
      </c>
      <c r="I15" s="89">
        <v>0.17799999999999999</v>
      </c>
    </row>
    <row r="16" spans="1:14" x14ac:dyDescent="0.25">
      <c r="B16" s="61" t="s">
        <v>77</v>
      </c>
      <c r="C16" s="61"/>
      <c r="D16" s="61"/>
      <c r="E16" s="89">
        <v>0.18</v>
      </c>
      <c r="F16" s="89">
        <v>0.18</v>
      </c>
      <c r="G16" s="89">
        <v>0.17799999999999999</v>
      </c>
      <c r="H16" s="89">
        <v>0.17799999999999999</v>
      </c>
      <c r="I16" s="89">
        <v>0.17799999999999999</v>
      </c>
    </row>
    <row r="17" spans="1:14" x14ac:dyDescent="0.25">
      <c r="B17" s="61" t="s">
        <v>78</v>
      </c>
      <c r="C17" s="61"/>
      <c r="D17" s="61"/>
      <c r="E17" s="89">
        <v>1.2E-2</v>
      </c>
      <c r="F17" s="89">
        <v>1.2E-2</v>
      </c>
      <c r="G17" s="89">
        <v>1.2E-2</v>
      </c>
      <c r="H17" s="89">
        <v>1.2E-2</v>
      </c>
      <c r="I17" s="89">
        <v>1.2E-2</v>
      </c>
    </row>
    <row r="20" spans="1:14" x14ac:dyDescent="0.25">
      <c r="J20" s="104">
        <v>1</v>
      </c>
      <c r="K20" s="104">
        <f>J20+1</f>
        <v>2</v>
      </c>
      <c r="L20" s="104">
        <f>K20+1</f>
        <v>3</v>
      </c>
      <c r="M20" s="104">
        <f t="shared" ref="M20:N20" si="0">L20+1</f>
        <v>4</v>
      </c>
      <c r="N20" s="104">
        <f t="shared" si="0"/>
        <v>5</v>
      </c>
    </row>
    <row r="21" spans="1:14" x14ac:dyDescent="0.25">
      <c r="A21" t="s">
        <v>20</v>
      </c>
      <c r="B21" s="7" t="s">
        <v>25</v>
      </c>
      <c r="C21" s="8"/>
      <c r="D21" s="8"/>
      <c r="E21" s="7">
        <v>2021</v>
      </c>
      <c r="F21" s="7">
        <f>E21+1</f>
        <v>2022</v>
      </c>
      <c r="G21" s="7">
        <f t="shared" ref="G21:N21" si="1">F21+1</f>
        <v>2023</v>
      </c>
      <c r="H21" s="7">
        <f t="shared" si="1"/>
        <v>2024</v>
      </c>
      <c r="I21" s="7">
        <f t="shared" si="1"/>
        <v>2025</v>
      </c>
      <c r="J21" s="7">
        <f t="shared" si="1"/>
        <v>2026</v>
      </c>
      <c r="K21" s="7">
        <f>J21+1</f>
        <v>2027</v>
      </c>
      <c r="L21" s="7">
        <f>K21+1</f>
        <v>2028</v>
      </c>
      <c r="M21" s="7">
        <f t="shared" si="1"/>
        <v>2029</v>
      </c>
      <c r="N21" s="7">
        <f t="shared" si="1"/>
        <v>2030</v>
      </c>
    </row>
    <row r="22" spans="1:14" x14ac:dyDescent="0.25">
      <c r="A22" s="10"/>
      <c r="B22" s="10" t="s">
        <v>26</v>
      </c>
      <c r="C22" s="10"/>
      <c r="D22" s="10"/>
      <c r="E22" s="11">
        <f>'04_Segment Financials'!C18</f>
        <v>11294</v>
      </c>
      <c r="F22" s="11">
        <f>'04_Segment Financials'!D18</f>
        <v>11158</v>
      </c>
      <c r="G22" s="11">
        <f>'04_Segment Financials'!E18</f>
        <v>11790</v>
      </c>
      <c r="H22" s="11">
        <f>'04_Segment Financials'!F18</f>
        <v>12347</v>
      </c>
      <c r="I22" s="11">
        <f>'04_Segment Financials'!G18</f>
        <v>12652</v>
      </c>
      <c r="J22" s="88">
        <f>I22*(1+E13)</f>
        <v>12968.3</v>
      </c>
      <c r="K22" s="18">
        <f>J22*(1+F13)</f>
        <v>13292.507499999998</v>
      </c>
      <c r="L22" s="18">
        <f>K22*(1+G13)</f>
        <v>13558.357649999998</v>
      </c>
      <c r="M22" s="18">
        <f>L22*(1+H13)</f>
        <v>13829.524802999998</v>
      </c>
      <c r="N22" s="18">
        <f>M22*(1+I13)</f>
        <v>14106.115299059999</v>
      </c>
    </row>
    <row r="23" spans="1:14" x14ac:dyDescent="0.25">
      <c r="A23" s="10"/>
      <c r="B23" s="12" t="s">
        <v>27</v>
      </c>
      <c r="C23" s="10"/>
      <c r="D23" s="10"/>
      <c r="E23" s="90" t="s">
        <v>68</v>
      </c>
      <c r="F23" s="13">
        <f t="shared" ref="F23:N23" si="2">F22/E22-1</f>
        <v>-1.204179210200107E-2</v>
      </c>
      <c r="G23" s="13">
        <f t="shared" si="2"/>
        <v>5.6640975085140655E-2</v>
      </c>
      <c r="H23" s="13">
        <f t="shared" si="2"/>
        <v>4.7243426632739505E-2</v>
      </c>
      <c r="I23" s="13">
        <f t="shared" si="2"/>
        <v>2.4702356847817297E-2</v>
      </c>
      <c r="J23" s="106">
        <f t="shared" si="2"/>
        <v>2.4999999999999911E-2</v>
      </c>
      <c r="K23" s="13">
        <f t="shared" si="2"/>
        <v>2.4999999999999911E-2</v>
      </c>
      <c r="L23" s="13">
        <f t="shared" si="2"/>
        <v>2.0000000000000018E-2</v>
      </c>
      <c r="M23" s="13">
        <f t="shared" si="2"/>
        <v>2.0000000000000018E-2</v>
      </c>
      <c r="N23" s="13">
        <f t="shared" si="2"/>
        <v>2.0000000000000018E-2</v>
      </c>
    </row>
    <row r="24" spans="1:14" x14ac:dyDescent="0.25">
      <c r="A24" s="10"/>
      <c r="B24" s="16"/>
      <c r="C24" s="10"/>
      <c r="D24" s="10"/>
      <c r="E24" s="10"/>
      <c r="F24" s="10"/>
      <c r="G24" s="10"/>
      <c r="H24" s="10"/>
      <c r="I24" s="10"/>
      <c r="J24" s="107"/>
      <c r="K24" s="10"/>
      <c r="L24" s="10"/>
      <c r="M24" s="10"/>
      <c r="N24" s="10"/>
    </row>
    <row r="25" spans="1:14" x14ac:dyDescent="0.25">
      <c r="A25" s="10"/>
      <c r="B25" s="10" t="s">
        <v>28</v>
      </c>
      <c r="C25" s="10"/>
      <c r="D25" s="10"/>
      <c r="E25" s="11">
        <f>'04_Segment Financials'!C22</f>
        <v>1446</v>
      </c>
      <c r="F25" s="11">
        <f>'04_Segment Financials'!D22</f>
        <v>1520</v>
      </c>
      <c r="G25" s="11">
        <f>'04_Segment Financials'!E22</f>
        <v>1614</v>
      </c>
      <c r="H25" s="11">
        <f>'04_Segment Financials'!F22</f>
        <v>1907</v>
      </c>
      <c r="I25" s="11">
        <f>'04_Segment Financials'!G22</f>
        <v>2130</v>
      </c>
      <c r="J25" s="88">
        <f>J22*E14</f>
        <v>2593.66</v>
      </c>
      <c r="K25" s="18">
        <f>K22*F14</f>
        <v>2698.3790224999998</v>
      </c>
      <c r="L25" s="18">
        <f>L22*G14</f>
        <v>2793.0216758999995</v>
      </c>
      <c r="M25" s="18">
        <f>M22*H14</f>
        <v>2876.5411590239996</v>
      </c>
      <c r="N25" s="18">
        <f>N22*I14</f>
        <v>2962.2842128025995</v>
      </c>
    </row>
    <row r="26" spans="1:14" x14ac:dyDescent="0.25">
      <c r="A26" s="10"/>
      <c r="B26" s="12" t="s">
        <v>29</v>
      </c>
      <c r="C26" s="10"/>
      <c r="D26" s="10"/>
      <c r="E26" s="13">
        <f>E25/E$22</f>
        <v>0.12803258367274659</v>
      </c>
      <c r="F26" s="13">
        <f t="shared" ref="F26:N26" si="3">F25/F$22</f>
        <v>0.13622512995160424</v>
      </c>
      <c r="G26" s="13">
        <f t="shared" si="3"/>
        <v>0.13689567430025446</v>
      </c>
      <c r="H26" s="13">
        <f t="shared" si="3"/>
        <v>0.15445047379930346</v>
      </c>
      <c r="I26" s="13">
        <f t="shared" si="3"/>
        <v>0.16835282959215933</v>
      </c>
      <c r="J26" s="106">
        <f t="shared" si="3"/>
        <v>0.2</v>
      </c>
      <c r="K26" s="13">
        <f t="shared" si="3"/>
        <v>0.20300000000000001</v>
      </c>
      <c r="L26" s="13">
        <f t="shared" si="3"/>
        <v>0.20599999999999999</v>
      </c>
      <c r="M26" s="13">
        <f t="shared" si="3"/>
        <v>0.20799999999999999</v>
      </c>
      <c r="N26" s="13">
        <f t="shared" si="3"/>
        <v>0.21</v>
      </c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8"/>
    </row>
    <row r="28" spans="1:14" x14ac:dyDescent="0.25">
      <c r="A28" s="10"/>
      <c r="B28" s="10" t="s">
        <v>30</v>
      </c>
      <c r="C28" s="10"/>
      <c r="D28" s="10"/>
      <c r="E28" s="11">
        <f>E25*$D$9</f>
        <v>361.5</v>
      </c>
      <c r="F28" s="11">
        <f t="shared" ref="F28:I28" si="4">F25*$D$9</f>
        <v>380</v>
      </c>
      <c r="G28" s="11">
        <f t="shared" si="4"/>
        <v>403.5</v>
      </c>
      <c r="H28" s="11">
        <f t="shared" si="4"/>
        <v>476.75</v>
      </c>
      <c r="I28" s="11">
        <f t="shared" si="4"/>
        <v>532.5</v>
      </c>
      <c r="J28" s="88">
        <f>J25*$D$9</f>
        <v>648.41499999999996</v>
      </c>
      <c r="K28" s="18">
        <f>K25*$D$9</f>
        <v>674.59475562499995</v>
      </c>
      <c r="L28" s="18">
        <f>L25*$D$9</f>
        <v>698.25541897499988</v>
      </c>
      <c r="M28" s="18">
        <f>M25*$D$9</f>
        <v>719.13528975599991</v>
      </c>
      <c r="N28" s="18">
        <f>N25*$D$9</f>
        <v>740.57105320064989</v>
      </c>
    </row>
    <row r="29" spans="1:14" x14ac:dyDescent="0.25">
      <c r="A29" s="10"/>
      <c r="B29" s="12" t="s">
        <v>31</v>
      </c>
      <c r="C29" s="10"/>
      <c r="D29" s="10"/>
      <c r="E29" s="13">
        <f>E28/E$25</f>
        <v>0.25</v>
      </c>
      <c r="F29" s="13">
        <f t="shared" ref="F29:N29" si="5">F28/F$25</f>
        <v>0.25</v>
      </c>
      <c r="G29" s="13">
        <f t="shared" si="5"/>
        <v>0.25</v>
      </c>
      <c r="H29" s="13">
        <f t="shared" si="5"/>
        <v>0.25</v>
      </c>
      <c r="I29" s="13">
        <f t="shared" si="5"/>
        <v>0.25</v>
      </c>
      <c r="J29" s="106">
        <f t="shared" si="5"/>
        <v>0.25</v>
      </c>
      <c r="K29" s="13">
        <f t="shared" si="5"/>
        <v>0.25</v>
      </c>
      <c r="L29" s="13">
        <f t="shared" si="5"/>
        <v>0.25</v>
      </c>
      <c r="M29" s="13">
        <f t="shared" si="5"/>
        <v>0.25</v>
      </c>
      <c r="N29" s="13">
        <f t="shared" si="5"/>
        <v>0.25</v>
      </c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7"/>
      <c r="J30" s="10"/>
      <c r="K30" s="10"/>
      <c r="L30" s="10"/>
      <c r="M30" s="10"/>
      <c r="N30" s="10"/>
    </row>
    <row r="31" spans="1:14" x14ac:dyDescent="0.25">
      <c r="A31" t="s">
        <v>20</v>
      </c>
      <c r="B31" s="7" t="s">
        <v>32</v>
      </c>
      <c r="C31" s="8"/>
      <c r="D31" s="8"/>
      <c r="E31" s="7">
        <v>2021</v>
      </c>
      <c r="F31" s="7">
        <f>E31+1</f>
        <v>2022</v>
      </c>
      <c r="G31" s="7">
        <f t="shared" ref="G31:N31" si="6">F31+1</f>
        <v>2023</v>
      </c>
      <c r="H31" s="7">
        <f t="shared" si="6"/>
        <v>2024</v>
      </c>
      <c r="I31" s="7">
        <f t="shared" si="6"/>
        <v>2025</v>
      </c>
      <c r="J31" s="7">
        <f t="shared" si="6"/>
        <v>2026</v>
      </c>
      <c r="K31" s="7">
        <f>J31+1</f>
        <v>2027</v>
      </c>
      <c r="L31" s="7">
        <f>K31+1</f>
        <v>2028</v>
      </c>
      <c r="M31" s="7">
        <f t="shared" si="6"/>
        <v>2029</v>
      </c>
      <c r="N31" s="7">
        <f t="shared" si="6"/>
        <v>2030</v>
      </c>
    </row>
    <row r="32" spans="1:14" x14ac:dyDescent="0.25">
      <c r="A32" s="10"/>
      <c r="B32" s="10" t="s">
        <v>33</v>
      </c>
      <c r="C32" s="10"/>
      <c r="D32" s="10"/>
      <c r="E32" s="11">
        <f>'04_Segment Financials'!C24</f>
        <v>2561</v>
      </c>
      <c r="F32" s="11">
        <f>'04_Segment Financials'!D24</f>
        <v>2444</v>
      </c>
      <c r="G32" s="11">
        <f>'04_Segment Financials'!E24</f>
        <v>2500</v>
      </c>
      <c r="H32" s="11">
        <f>'04_Segment Financials'!F24</f>
        <v>2524</v>
      </c>
      <c r="I32" s="11">
        <f>'04_Segment Financials'!G24</f>
        <v>2547</v>
      </c>
      <c r="J32" s="88">
        <f>J22*E15</f>
        <v>2528.8184999999999</v>
      </c>
      <c r="K32" s="18">
        <f t="shared" ref="K32:N32" si="7">K22*F15</f>
        <v>2525.5764249999997</v>
      </c>
      <c r="L32" s="18">
        <f t="shared" si="7"/>
        <v>2508.2961652499998</v>
      </c>
      <c r="M32" s="18">
        <f t="shared" si="7"/>
        <v>2489.3144645399998</v>
      </c>
      <c r="N32" s="18">
        <f t="shared" si="7"/>
        <v>2510.8885232326797</v>
      </c>
    </row>
    <row r="33" spans="1:17" x14ac:dyDescent="0.25">
      <c r="A33" s="10"/>
      <c r="B33" s="12" t="s">
        <v>29</v>
      </c>
      <c r="C33" s="10"/>
      <c r="D33" s="10"/>
      <c r="E33" s="13">
        <f>E32/E$22</f>
        <v>0.22675757039135824</v>
      </c>
      <c r="F33" s="13">
        <f t="shared" ref="F33:N33" si="8">F32/F$22</f>
        <v>0.21903566947481629</v>
      </c>
      <c r="G33" s="13">
        <f t="shared" si="8"/>
        <v>0.21204410517387617</v>
      </c>
      <c r="H33" s="13">
        <f t="shared" si="8"/>
        <v>0.20442212683242894</v>
      </c>
      <c r="I33" s="13">
        <f t="shared" si="8"/>
        <v>0.20131204552639897</v>
      </c>
      <c r="J33" s="106">
        <f t="shared" si="8"/>
        <v>0.19500000000000001</v>
      </c>
      <c r="K33" s="13">
        <f t="shared" si="8"/>
        <v>0.19</v>
      </c>
      <c r="L33" s="13">
        <f t="shared" si="8"/>
        <v>0.18500000000000003</v>
      </c>
      <c r="M33" s="13">
        <f t="shared" si="8"/>
        <v>0.18</v>
      </c>
      <c r="N33" s="13">
        <f t="shared" si="8"/>
        <v>0.17799999999999999</v>
      </c>
    </row>
    <row r="34" spans="1:17" x14ac:dyDescent="0.25">
      <c r="A34" s="10"/>
      <c r="B34" s="10"/>
      <c r="C34" s="10"/>
      <c r="D34" s="10"/>
      <c r="E34" s="18"/>
      <c r="F34" s="18"/>
      <c r="G34" s="18"/>
      <c r="H34" s="18"/>
      <c r="I34" s="19"/>
      <c r="J34" s="18"/>
      <c r="K34" s="18"/>
      <c r="L34" s="18"/>
      <c r="M34" s="18"/>
      <c r="N34" s="18"/>
    </row>
    <row r="35" spans="1:17" x14ac:dyDescent="0.25">
      <c r="A35" s="10"/>
      <c r="B35" s="10" t="s">
        <v>10</v>
      </c>
      <c r="C35" s="10"/>
      <c r="D35" s="10"/>
      <c r="E35" s="11">
        <f>'04_Segment Financials'!C26</f>
        <v>1905</v>
      </c>
      <c r="F35" s="11">
        <f>'04_Segment Financials'!D26</f>
        <v>1872</v>
      </c>
      <c r="G35" s="11">
        <f>'04_Segment Financials'!E26</f>
        <v>2049</v>
      </c>
      <c r="H35" s="11">
        <f>'04_Segment Financials'!F26</f>
        <v>1919</v>
      </c>
      <c r="I35" s="11">
        <f>'04_Segment Financials'!G26</f>
        <v>2250</v>
      </c>
      <c r="J35" s="88">
        <f>J22*E16</f>
        <v>2334.2939999999999</v>
      </c>
      <c r="K35" s="18">
        <f t="shared" ref="K35:N35" si="9">K22*F16</f>
        <v>2392.6513499999996</v>
      </c>
      <c r="L35" s="18">
        <f t="shared" si="9"/>
        <v>2413.3876616999996</v>
      </c>
      <c r="M35" s="18">
        <f t="shared" si="9"/>
        <v>2461.6554149339995</v>
      </c>
      <c r="N35" s="18">
        <f t="shared" si="9"/>
        <v>2510.8885232326797</v>
      </c>
    </row>
    <row r="36" spans="1:17" x14ac:dyDescent="0.25">
      <c r="A36" s="10"/>
      <c r="B36" s="12" t="s">
        <v>29</v>
      </c>
      <c r="C36" s="10"/>
      <c r="D36" s="10"/>
      <c r="E36" s="13">
        <f t="shared" ref="E36:N36" si="10">E35/E$22</f>
        <v>0.16867363201700017</v>
      </c>
      <c r="F36" s="13">
        <f t="shared" si="10"/>
        <v>0.16777200215092311</v>
      </c>
      <c r="G36" s="13">
        <f t="shared" si="10"/>
        <v>0.1737913486005089</v>
      </c>
      <c r="H36" s="13">
        <f t="shared" si="10"/>
        <v>0.1554223698064307</v>
      </c>
      <c r="I36" s="14">
        <f t="shared" si="10"/>
        <v>0.17783749604805565</v>
      </c>
      <c r="J36" s="15">
        <f t="shared" si="10"/>
        <v>0.18</v>
      </c>
      <c r="K36" s="15">
        <f t="shared" si="10"/>
        <v>0.18</v>
      </c>
      <c r="L36" s="15">
        <f t="shared" si="10"/>
        <v>0.17799999999999999</v>
      </c>
      <c r="M36" s="15">
        <f t="shared" si="10"/>
        <v>0.17799999999999999</v>
      </c>
      <c r="N36" s="15">
        <f t="shared" si="10"/>
        <v>0.17799999999999999</v>
      </c>
    </row>
    <row r="37" spans="1:17" x14ac:dyDescent="0.25">
      <c r="A37" s="10"/>
      <c r="B37" s="10"/>
      <c r="C37" s="10"/>
      <c r="D37" s="10"/>
      <c r="E37" s="18"/>
      <c r="F37" s="18"/>
      <c r="G37" s="18"/>
      <c r="H37" s="18"/>
      <c r="I37" s="19"/>
      <c r="J37" s="18"/>
      <c r="K37" s="18"/>
      <c r="L37" s="18"/>
      <c r="M37" s="18"/>
      <c r="N37" s="18"/>
    </row>
    <row r="38" spans="1:17" x14ac:dyDescent="0.25">
      <c r="A38" s="10"/>
      <c r="B38" s="10" t="s">
        <v>34</v>
      </c>
      <c r="C38" s="10"/>
      <c r="D38" s="10"/>
      <c r="E38" s="102" t="s">
        <v>68</v>
      </c>
      <c r="F38" s="20">
        <f>'04_Segment Financials'!D57</f>
        <v>-10.527839940149022</v>
      </c>
      <c r="G38" s="20">
        <f>'04_Segment Financials'!E57</f>
        <v>141.44379057732442</v>
      </c>
      <c r="H38" s="20">
        <f>'04_Segment Financials'!F57</f>
        <v>212.44329807674671</v>
      </c>
      <c r="I38" s="20">
        <f>'04_Segment Financials'!G57</f>
        <v>128.5429337434116</v>
      </c>
      <c r="J38" s="88">
        <f>J22*E17</f>
        <v>155.61959999999999</v>
      </c>
      <c r="K38" s="18">
        <f t="shared" ref="K38:N38" si="11">K22*F17</f>
        <v>159.51008999999999</v>
      </c>
      <c r="L38" s="18">
        <f t="shared" si="11"/>
        <v>162.70029179999997</v>
      </c>
      <c r="M38" s="18">
        <f t="shared" si="11"/>
        <v>165.95429763599998</v>
      </c>
      <c r="N38" s="18">
        <f t="shared" si="11"/>
        <v>169.27338358871998</v>
      </c>
    </row>
    <row r="39" spans="1:17" x14ac:dyDescent="0.25">
      <c r="A39" s="10"/>
      <c r="B39" s="12" t="s">
        <v>29</v>
      </c>
      <c r="C39" s="10"/>
      <c r="D39" s="10"/>
      <c r="E39" s="101"/>
      <c r="F39" s="21">
        <f t="shared" ref="F39:N39" si="12">F38/F$22</f>
        <v>-9.4352392365558543E-4</v>
      </c>
      <c r="G39" s="21">
        <f t="shared" si="12"/>
        <v>1.1996928802147958E-2</v>
      </c>
      <c r="H39" s="21">
        <f t="shared" si="12"/>
        <v>1.7206066095144305E-2</v>
      </c>
      <c r="I39" s="22">
        <f t="shared" si="12"/>
        <v>1.0159890431821972E-2</v>
      </c>
      <c r="J39" s="103">
        <f t="shared" si="12"/>
        <v>1.2E-2</v>
      </c>
      <c r="K39" s="103">
        <f t="shared" si="12"/>
        <v>1.2000000000000002E-2</v>
      </c>
      <c r="L39" s="103">
        <f t="shared" si="12"/>
        <v>1.2E-2</v>
      </c>
      <c r="M39" s="103">
        <f t="shared" si="12"/>
        <v>1.2E-2</v>
      </c>
      <c r="N39" s="103">
        <f t="shared" si="12"/>
        <v>1.2E-2</v>
      </c>
    </row>
    <row r="40" spans="1:17" x14ac:dyDescent="0.25">
      <c r="I40" s="23"/>
      <c r="J40" s="104">
        <v>1</v>
      </c>
      <c r="K40" s="104">
        <f>J40+1</f>
        <v>2</v>
      </c>
      <c r="L40" s="104">
        <f>K40+1</f>
        <v>3</v>
      </c>
      <c r="M40" s="104">
        <f t="shared" ref="M40:N40" si="13">L40+1</f>
        <v>4</v>
      </c>
      <c r="N40" s="104">
        <f t="shared" si="13"/>
        <v>5</v>
      </c>
    </row>
    <row r="41" spans="1:17" x14ac:dyDescent="0.25">
      <c r="A41" t="s">
        <v>20</v>
      </c>
      <c r="B41" s="7" t="s">
        <v>2</v>
      </c>
      <c r="C41" s="8"/>
      <c r="D41" s="8"/>
      <c r="E41" s="7">
        <v>2021</v>
      </c>
      <c r="F41" s="7">
        <f>E41+1</f>
        <v>2022</v>
      </c>
      <c r="G41" s="7">
        <f t="shared" ref="G41:N41" si="14">F41+1</f>
        <v>2023</v>
      </c>
      <c r="H41" s="7">
        <f t="shared" si="14"/>
        <v>2024</v>
      </c>
      <c r="I41" s="7">
        <f t="shared" si="14"/>
        <v>2025</v>
      </c>
      <c r="J41" s="7">
        <f t="shared" si="14"/>
        <v>2026</v>
      </c>
      <c r="K41" s="7">
        <f>J41+1</f>
        <v>2027</v>
      </c>
      <c r="L41" s="7">
        <f>K41+1</f>
        <v>2028</v>
      </c>
      <c r="M41" s="7">
        <f t="shared" si="14"/>
        <v>2029</v>
      </c>
      <c r="N41" s="7">
        <f t="shared" si="14"/>
        <v>2030</v>
      </c>
    </row>
    <row r="42" spans="1:17" x14ac:dyDescent="0.25">
      <c r="B42" t="s">
        <v>26</v>
      </c>
      <c r="E42" s="24">
        <f>E22</f>
        <v>11294</v>
      </c>
      <c r="F42" s="24">
        <f>F22</f>
        <v>11158</v>
      </c>
      <c r="G42" s="24">
        <f>G22</f>
        <v>11790</v>
      </c>
      <c r="H42" s="24">
        <f>H22</f>
        <v>12347</v>
      </c>
      <c r="I42" s="25">
        <f>I22</f>
        <v>12652</v>
      </c>
      <c r="J42" s="24">
        <f>I42*(1+J43)</f>
        <v>12968.3</v>
      </c>
      <c r="K42" s="24">
        <f>J42*(1+K43)</f>
        <v>13292.507499999998</v>
      </c>
      <c r="L42" s="24">
        <f>K42*(1+L43)</f>
        <v>13558.357649999998</v>
      </c>
      <c r="M42" s="24">
        <f t="shared" ref="M42:N42" si="15">L42*(1+M43)</f>
        <v>13829.524802999998</v>
      </c>
      <c r="N42" s="24">
        <f t="shared" si="15"/>
        <v>14106.115299059999</v>
      </c>
    </row>
    <row r="43" spans="1:17" x14ac:dyDescent="0.25">
      <c r="B43" s="26" t="s">
        <v>27</v>
      </c>
      <c r="E43" s="27"/>
      <c r="F43" s="27">
        <f>F42/E42-1</f>
        <v>-1.204179210200107E-2</v>
      </c>
      <c r="G43" s="27">
        <f>G42/F42-1</f>
        <v>5.6640975085140655E-2</v>
      </c>
      <c r="H43" s="27">
        <f>H42/G42-1</f>
        <v>4.7243426632739505E-2</v>
      </c>
      <c r="I43" s="28">
        <f>I42/H42-1</f>
        <v>2.4702356847817297E-2</v>
      </c>
      <c r="J43" s="111">
        <f>J23</f>
        <v>2.4999999999999911E-2</v>
      </c>
      <c r="K43" s="111">
        <f>K23</f>
        <v>2.4999999999999911E-2</v>
      </c>
      <c r="L43" s="111">
        <f>L23</f>
        <v>2.0000000000000018E-2</v>
      </c>
      <c r="M43" s="111">
        <f>M23</f>
        <v>2.0000000000000018E-2</v>
      </c>
      <c r="N43" s="111">
        <f>N23</f>
        <v>2.0000000000000018E-2</v>
      </c>
    </row>
    <row r="44" spans="1:17" x14ac:dyDescent="0.25">
      <c r="I44" s="23"/>
    </row>
    <row r="45" spans="1:17" x14ac:dyDescent="0.25">
      <c r="B45" t="s">
        <v>28</v>
      </c>
      <c r="E45" s="24">
        <f>E25</f>
        <v>1446</v>
      </c>
      <c r="F45" s="24">
        <f>F25</f>
        <v>1520</v>
      </c>
      <c r="G45" s="24">
        <f>G25</f>
        <v>1614</v>
      </c>
      <c r="H45" s="24">
        <f>H25</f>
        <v>1907</v>
      </c>
      <c r="I45" s="25">
        <f>I25</f>
        <v>2130</v>
      </c>
      <c r="J45" s="24">
        <f>J46*J42</f>
        <v>2593.66</v>
      </c>
      <c r="K45" s="24">
        <f>K46*K42</f>
        <v>2698.3790224999998</v>
      </c>
      <c r="L45" s="24">
        <f>L46*L42</f>
        <v>2793.0216758999995</v>
      </c>
      <c r="M45" s="24">
        <f>M46*M42</f>
        <v>2876.5411590239996</v>
      </c>
      <c r="N45" s="24">
        <f>N46*N42</f>
        <v>2962.2842128025995</v>
      </c>
      <c r="Q45" s="35"/>
    </row>
    <row r="46" spans="1:17" x14ac:dyDescent="0.25">
      <c r="B46" s="26" t="s">
        <v>35</v>
      </c>
      <c r="E46" s="27">
        <f>E45/E42</f>
        <v>0.12803258367274659</v>
      </c>
      <c r="F46" s="27">
        <f>F45/F42</f>
        <v>0.13622512995160424</v>
      </c>
      <c r="G46" s="27">
        <f>G45/G42</f>
        <v>0.13689567430025446</v>
      </c>
      <c r="H46" s="27">
        <f>H45/H42</f>
        <v>0.15445047379930346</v>
      </c>
      <c r="I46" s="28">
        <f>I45/I42</f>
        <v>0.16835282959215933</v>
      </c>
      <c r="J46" s="111">
        <f>J26</f>
        <v>0.2</v>
      </c>
      <c r="K46" s="111">
        <f>K26</f>
        <v>0.20300000000000001</v>
      </c>
      <c r="L46" s="111">
        <f>L26</f>
        <v>0.20599999999999999</v>
      </c>
      <c r="M46" s="111">
        <f>M26</f>
        <v>0.20799999999999999</v>
      </c>
      <c r="N46" s="111">
        <f>N26</f>
        <v>0.21</v>
      </c>
    </row>
    <row r="47" spans="1:17" x14ac:dyDescent="0.25">
      <c r="I47" s="23"/>
      <c r="K47" s="110"/>
      <c r="L47" s="29"/>
    </row>
    <row r="48" spans="1:17" x14ac:dyDescent="0.25">
      <c r="B48" t="s">
        <v>30</v>
      </c>
      <c r="E48" s="24">
        <f>E28</f>
        <v>361.5</v>
      </c>
      <c r="F48" s="24">
        <f>F28</f>
        <v>380</v>
      </c>
      <c r="G48" s="24">
        <f>G28</f>
        <v>403.5</v>
      </c>
      <c r="H48" s="24">
        <f>H28</f>
        <v>476.75</v>
      </c>
      <c r="I48" s="25">
        <f>I28</f>
        <v>532.5</v>
      </c>
      <c r="J48" s="24">
        <f>J49*J45</f>
        <v>648.41499999999996</v>
      </c>
      <c r="K48" s="24">
        <f>K49*K45</f>
        <v>674.59475562499995</v>
      </c>
      <c r="L48" s="24">
        <f>L49*L45</f>
        <v>698.25541897499988</v>
      </c>
      <c r="M48" s="24">
        <f>M49*M45</f>
        <v>719.13528975599991</v>
      </c>
      <c r="N48" s="24">
        <f>N49*N45</f>
        <v>740.57105320064989</v>
      </c>
    </row>
    <row r="49" spans="2:14" x14ac:dyDescent="0.25">
      <c r="B49" s="26" t="s">
        <v>31</v>
      </c>
      <c r="E49" s="27">
        <f>E48/E45</f>
        <v>0.25</v>
      </c>
      <c r="F49" s="27">
        <f>F48/F45</f>
        <v>0.25</v>
      </c>
      <c r="G49" s="27">
        <f>G48/G45</f>
        <v>0.25</v>
      </c>
      <c r="H49" s="27">
        <f>H48/H45</f>
        <v>0.25</v>
      </c>
      <c r="I49" s="28">
        <f>I48/I45</f>
        <v>0.25</v>
      </c>
      <c r="J49" s="111">
        <f>J29</f>
        <v>0.25</v>
      </c>
      <c r="K49" s="111">
        <f>K29</f>
        <v>0.25</v>
      </c>
      <c r="L49" s="111">
        <f>L29</f>
        <v>0.25</v>
      </c>
      <c r="M49" s="111">
        <f>M29</f>
        <v>0.25</v>
      </c>
      <c r="N49" s="111">
        <f>N29</f>
        <v>0.25</v>
      </c>
    </row>
    <row r="50" spans="2:14" x14ac:dyDescent="0.25">
      <c r="I50" s="23"/>
    </row>
    <row r="51" spans="2:14" x14ac:dyDescent="0.25">
      <c r="B51" s="30" t="s">
        <v>59</v>
      </c>
      <c r="C51" s="31"/>
      <c r="D51" s="31"/>
      <c r="E51" s="31"/>
      <c r="F51" s="31"/>
      <c r="G51" s="31"/>
      <c r="H51" s="31"/>
      <c r="I51" s="32"/>
      <c r="J51" s="33">
        <f>J45-J48</f>
        <v>1945.2449999999999</v>
      </c>
      <c r="K51" s="33">
        <f>K45-K48</f>
        <v>2023.784266875</v>
      </c>
      <c r="L51" s="33">
        <f>L45-L48</f>
        <v>2094.7662569249997</v>
      </c>
      <c r="M51" s="33">
        <f>M45-M48</f>
        <v>2157.4058692679996</v>
      </c>
      <c r="N51" s="34">
        <f>N45-N48</f>
        <v>2221.7131596019499</v>
      </c>
    </row>
    <row r="52" spans="2:14" x14ac:dyDescent="0.25">
      <c r="I52" s="23"/>
      <c r="K52" s="35"/>
    </row>
    <row r="53" spans="2:14" x14ac:dyDescent="0.25">
      <c r="B53" t="s">
        <v>33</v>
      </c>
      <c r="E53" s="24">
        <f t="shared" ref="E53:N53" si="16">E32</f>
        <v>2561</v>
      </c>
      <c r="F53" s="24">
        <f t="shared" si="16"/>
        <v>2444</v>
      </c>
      <c r="G53" s="24">
        <f t="shared" si="16"/>
        <v>2500</v>
      </c>
      <c r="H53" s="24">
        <f t="shared" si="16"/>
        <v>2524</v>
      </c>
      <c r="I53" s="25">
        <f t="shared" si="16"/>
        <v>2547</v>
      </c>
      <c r="J53" s="24">
        <f t="shared" si="16"/>
        <v>2528.8184999999999</v>
      </c>
      <c r="K53" s="24">
        <f t="shared" si="16"/>
        <v>2525.5764249999997</v>
      </c>
      <c r="L53" s="24">
        <f t="shared" si="16"/>
        <v>2508.2961652499998</v>
      </c>
      <c r="M53" s="24">
        <f t="shared" si="16"/>
        <v>2489.3144645399998</v>
      </c>
      <c r="N53" s="24">
        <f t="shared" si="16"/>
        <v>2510.8885232326797</v>
      </c>
    </row>
    <row r="54" spans="2:14" x14ac:dyDescent="0.25">
      <c r="B54" s="26" t="s">
        <v>29</v>
      </c>
      <c r="E54" s="27">
        <f t="shared" ref="E54:N54" si="17">E53/E$42</f>
        <v>0.22675757039135824</v>
      </c>
      <c r="F54" s="27">
        <f t="shared" si="17"/>
        <v>0.21903566947481629</v>
      </c>
      <c r="G54" s="27">
        <f t="shared" si="17"/>
        <v>0.21204410517387617</v>
      </c>
      <c r="H54" s="27">
        <f t="shared" si="17"/>
        <v>0.20442212683242894</v>
      </c>
      <c r="I54" s="28">
        <f t="shared" si="17"/>
        <v>0.20131204552639897</v>
      </c>
      <c r="J54" s="36">
        <f t="shared" si="17"/>
        <v>0.19500000000000001</v>
      </c>
      <c r="K54" s="36">
        <f t="shared" si="17"/>
        <v>0.19</v>
      </c>
      <c r="L54" s="36">
        <f t="shared" si="17"/>
        <v>0.18500000000000003</v>
      </c>
      <c r="M54" s="36">
        <f t="shared" si="17"/>
        <v>0.18</v>
      </c>
      <c r="N54" s="36">
        <f t="shared" si="17"/>
        <v>0.17799999999999999</v>
      </c>
    </row>
    <row r="55" spans="2:14" x14ac:dyDescent="0.25">
      <c r="I55" s="23"/>
    </row>
    <row r="56" spans="2:14" x14ac:dyDescent="0.25">
      <c r="B56" t="s">
        <v>10</v>
      </c>
      <c r="E56" s="24">
        <f t="shared" ref="E56:N56" si="18">E35</f>
        <v>1905</v>
      </c>
      <c r="F56" s="24">
        <f t="shared" si="18"/>
        <v>1872</v>
      </c>
      <c r="G56" s="24">
        <f t="shared" si="18"/>
        <v>2049</v>
      </c>
      <c r="H56" s="24">
        <f t="shared" si="18"/>
        <v>1919</v>
      </c>
      <c r="I56" s="25">
        <f t="shared" si="18"/>
        <v>2250</v>
      </c>
      <c r="J56" s="24">
        <f t="shared" si="18"/>
        <v>2334.2939999999999</v>
      </c>
      <c r="K56" s="24">
        <f t="shared" si="18"/>
        <v>2392.6513499999996</v>
      </c>
      <c r="L56" s="24">
        <f t="shared" si="18"/>
        <v>2413.3876616999996</v>
      </c>
      <c r="M56" s="24">
        <f t="shared" si="18"/>
        <v>2461.6554149339995</v>
      </c>
      <c r="N56" s="24">
        <f t="shared" si="18"/>
        <v>2510.8885232326797</v>
      </c>
    </row>
    <row r="57" spans="2:14" x14ac:dyDescent="0.25">
      <c r="B57" s="26" t="s">
        <v>29</v>
      </c>
      <c r="E57" s="27">
        <f t="shared" ref="E57:N57" si="19">E56/E$42</f>
        <v>0.16867363201700017</v>
      </c>
      <c r="F57" s="27">
        <f t="shared" si="19"/>
        <v>0.16777200215092311</v>
      </c>
      <c r="G57" s="27">
        <f t="shared" si="19"/>
        <v>0.1737913486005089</v>
      </c>
      <c r="H57" s="27">
        <f t="shared" si="19"/>
        <v>0.1554223698064307</v>
      </c>
      <c r="I57" s="28">
        <f t="shared" si="19"/>
        <v>0.17783749604805565</v>
      </c>
      <c r="J57" s="36">
        <f t="shared" si="19"/>
        <v>0.18</v>
      </c>
      <c r="K57" s="36">
        <f t="shared" si="19"/>
        <v>0.18</v>
      </c>
      <c r="L57" s="36">
        <f t="shared" si="19"/>
        <v>0.17799999999999999</v>
      </c>
      <c r="M57" s="36">
        <f t="shared" si="19"/>
        <v>0.17799999999999999</v>
      </c>
      <c r="N57" s="36">
        <f t="shared" si="19"/>
        <v>0.17799999999999999</v>
      </c>
    </row>
    <row r="58" spans="2:14" x14ac:dyDescent="0.25">
      <c r="I58" s="23"/>
    </row>
    <row r="59" spans="2:14" x14ac:dyDescent="0.25">
      <c r="B59" t="s">
        <v>34</v>
      </c>
      <c r="E59" s="105" t="str">
        <f>E38</f>
        <v>-</v>
      </c>
      <c r="F59" s="37">
        <f>F38</f>
        <v>-10.527839940149022</v>
      </c>
      <c r="G59" s="37">
        <f>G38</f>
        <v>141.44379057732442</v>
      </c>
      <c r="H59" s="37">
        <f>H38</f>
        <v>212.44329807674671</v>
      </c>
      <c r="I59" s="38">
        <f>I38</f>
        <v>128.5429337434116</v>
      </c>
      <c r="J59" s="37">
        <v>155.61959999999999</v>
      </c>
      <c r="K59" s="37">
        <v>159.51008999999999</v>
      </c>
      <c r="L59" s="37">
        <v>162.70029179999997</v>
      </c>
      <c r="M59" s="37">
        <v>165.95429763599998</v>
      </c>
      <c r="N59" s="37">
        <v>169.27338358871998</v>
      </c>
    </row>
    <row r="60" spans="2:14" x14ac:dyDescent="0.25">
      <c r="B60" s="26" t="s">
        <v>29</v>
      </c>
      <c r="E60" s="21"/>
      <c r="F60" s="21">
        <f>F59/F$42</f>
        <v>-9.4352392365558543E-4</v>
      </c>
      <c r="G60" s="21">
        <f t="shared" ref="G60:N60" si="20">G59/G$42</f>
        <v>1.1996928802147958E-2</v>
      </c>
      <c r="H60" s="21">
        <f t="shared" si="20"/>
        <v>1.7206066095144305E-2</v>
      </c>
      <c r="I60" s="21">
        <f t="shared" si="20"/>
        <v>1.0159890431821972E-2</v>
      </c>
      <c r="J60" s="109">
        <f t="shared" si="20"/>
        <v>1.2E-2</v>
      </c>
      <c r="K60" s="21">
        <f t="shared" si="20"/>
        <v>1.2000000000000002E-2</v>
      </c>
      <c r="L60" s="21">
        <f t="shared" si="20"/>
        <v>1.2E-2</v>
      </c>
      <c r="M60" s="21">
        <f t="shared" si="20"/>
        <v>1.2E-2</v>
      </c>
      <c r="N60" s="21">
        <f t="shared" si="20"/>
        <v>1.2E-2</v>
      </c>
    </row>
    <row r="61" spans="2:14" x14ac:dyDescent="0.25">
      <c r="I61" s="40"/>
    </row>
    <row r="62" spans="2:14" x14ac:dyDescent="0.25">
      <c r="B62" s="30" t="s">
        <v>36</v>
      </c>
      <c r="C62" s="31"/>
      <c r="D62" s="31"/>
      <c r="E62" s="31"/>
      <c r="F62" s="31"/>
      <c r="G62" s="31"/>
      <c r="H62" s="31"/>
      <c r="I62" s="32"/>
      <c r="J62" s="41">
        <f>J51+J53-J56-J59</f>
        <v>1984.1499000000003</v>
      </c>
      <c r="K62" s="41">
        <f t="shared" ref="K62:N62" si="21">K51+K53-K56-K59</f>
        <v>1997.1992518749996</v>
      </c>
      <c r="L62" s="41">
        <f t="shared" si="21"/>
        <v>2026.9744686749998</v>
      </c>
      <c r="M62" s="41">
        <f t="shared" si="21"/>
        <v>2019.1106212380005</v>
      </c>
      <c r="N62" s="42">
        <f t="shared" si="21"/>
        <v>2052.4397760132297</v>
      </c>
    </row>
    <row r="63" spans="2:14" x14ac:dyDescent="0.25">
      <c r="B63" s="30" t="s">
        <v>37</v>
      </c>
      <c r="C63" s="31"/>
      <c r="D63" s="31"/>
      <c r="E63" s="31"/>
      <c r="F63" s="31"/>
      <c r="G63" s="31"/>
      <c r="H63" s="31"/>
      <c r="I63" s="32"/>
      <c r="J63" s="41">
        <f>J62/(1+wacc)^J40</f>
        <v>1880.8959204870373</v>
      </c>
      <c r="K63" s="41">
        <f>K62/(1+wacc)^K40</f>
        <v>1794.7417464096845</v>
      </c>
      <c r="L63" s="41">
        <f>L62/(1+wacc)^L40</f>
        <v>1726.7089241803619</v>
      </c>
      <c r="M63" s="41">
        <f>M62/(1+wacc)^M40</f>
        <v>1630.5016908728862</v>
      </c>
      <c r="N63" s="42">
        <f>N62/(1+wacc)^N40</f>
        <v>1571.1651876027338</v>
      </c>
    </row>
    <row r="64" spans="2:14" x14ac:dyDescent="0.25">
      <c r="J64" s="43"/>
    </row>
    <row r="65" spans="1:15" x14ac:dyDescent="0.25">
      <c r="A65" t="s">
        <v>20</v>
      </c>
      <c r="B65" t="s">
        <v>38</v>
      </c>
      <c r="J65" s="43"/>
      <c r="N65" s="39">
        <f>(N62*(1+D8))/(D7-D8)</f>
        <v>50235.19339834369</v>
      </c>
    </row>
    <row r="66" spans="1:15" x14ac:dyDescent="0.25">
      <c r="B66" s="3" t="s">
        <v>39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4">
        <f>N65/(1+D7)^N40</f>
        <v>38170.103853344612</v>
      </c>
    </row>
    <row r="67" spans="1:15" x14ac:dyDescent="0.25">
      <c r="B67" s="9" t="s">
        <v>40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45">
        <f>SUM(J63:N63,N66)</f>
        <v>46774.117322897313</v>
      </c>
      <c r="O67" s="116" t="s">
        <v>90</v>
      </c>
    </row>
    <row r="68" spans="1:15" x14ac:dyDescent="0.25">
      <c r="B68" s="46" t="s">
        <v>41</v>
      </c>
      <c r="N68" s="112" t="s">
        <v>89</v>
      </c>
    </row>
    <row r="69" spans="1:15" x14ac:dyDescent="0.25">
      <c r="B69" s="47" t="s">
        <v>42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13" t="s">
        <v>89</v>
      </c>
    </row>
    <row r="70" spans="1:15" x14ac:dyDescent="0.25">
      <c r="B70" s="9" t="s">
        <v>43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45" t="e">
        <f>N67+N68-N69</f>
        <v>#VALUE!</v>
      </c>
    </row>
    <row r="71" spans="1:15" x14ac:dyDescent="0.25">
      <c r="B71" s="3" t="s">
        <v>44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14" t="s">
        <v>89</v>
      </c>
    </row>
    <row r="72" spans="1:15" x14ac:dyDescent="0.25">
      <c r="A72" t="s">
        <v>20</v>
      </c>
      <c r="B72" s="9" t="s">
        <v>45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48" t="e">
        <f>N70/N71</f>
        <v>#VALUE!</v>
      </c>
    </row>
    <row r="74" spans="1:15" x14ac:dyDescent="0.25">
      <c r="M74" s="140" t="s">
        <v>111</v>
      </c>
      <c r="N74" s="141">
        <f>N67/(I45+I53)</f>
        <v>10.000880334166627</v>
      </c>
      <c r="O74" s="142" t="s">
        <v>20</v>
      </c>
    </row>
    <row r="75" spans="1:15" x14ac:dyDescent="0.25">
      <c r="M75" s="143" t="s">
        <v>112</v>
      </c>
      <c r="N75" s="144">
        <f>N67/I22</f>
        <v>3.6969741798053519</v>
      </c>
      <c r="O75" s="145" t="s">
        <v>20</v>
      </c>
    </row>
    <row r="76" spans="1:15" x14ac:dyDescent="0.25">
      <c r="M76" s="146" t="s">
        <v>113</v>
      </c>
      <c r="N76" s="147">
        <f>N67/I25</f>
        <v>21.959679494317989</v>
      </c>
      <c r="O76" s="14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0F33-082E-4088-A612-F49D6211B509}">
  <dimension ref="A2:I22"/>
  <sheetViews>
    <sheetView showGridLines="0" workbookViewId="0"/>
  </sheetViews>
  <sheetFormatPr defaultRowHeight="15.75" x14ac:dyDescent="0.25"/>
  <cols>
    <col min="1" max="1" width="4.625" customWidth="1"/>
    <col min="4" max="4" width="14.625" customWidth="1"/>
  </cols>
  <sheetData>
    <row r="2" spans="1:9" s="3" customFormat="1" ht="21" x14ac:dyDescent="0.35">
      <c r="B2" s="6" t="s">
        <v>23</v>
      </c>
    </row>
    <row r="4" spans="1:9" x14ac:dyDescent="0.25">
      <c r="A4" t="s">
        <v>20</v>
      </c>
      <c r="B4" s="7" t="s">
        <v>23</v>
      </c>
      <c r="C4" s="8"/>
      <c r="D4" s="8"/>
      <c r="E4" s="8"/>
      <c r="F4" s="8"/>
      <c r="G4" s="8"/>
      <c r="H4" s="8"/>
      <c r="I4" s="8"/>
    </row>
    <row r="5" spans="1:9" x14ac:dyDescent="0.25">
      <c r="B5" s="85" t="s">
        <v>47</v>
      </c>
    </row>
    <row r="6" spans="1:9" x14ac:dyDescent="0.25">
      <c r="B6" s="85" t="s">
        <v>48</v>
      </c>
    </row>
    <row r="8" spans="1:9" x14ac:dyDescent="0.25">
      <c r="B8" s="56" t="s">
        <v>49</v>
      </c>
      <c r="C8" s="56"/>
      <c r="D8" s="117">
        <v>143603000000</v>
      </c>
    </row>
    <row r="9" spans="1:9" x14ac:dyDescent="0.25">
      <c r="B9" s="56" t="s">
        <v>50</v>
      </c>
      <c r="C9" s="56"/>
      <c r="D9" s="74">
        <f>D8/D20</f>
        <v>0.51414771771158918</v>
      </c>
    </row>
    <row r="10" spans="1:9" x14ac:dyDescent="0.25">
      <c r="B10" s="75" t="s">
        <v>51</v>
      </c>
      <c r="C10" s="56"/>
      <c r="D10" s="83">
        <v>5.0999999999999997E-2</v>
      </c>
    </row>
    <row r="11" spans="1:9" x14ac:dyDescent="0.25">
      <c r="B11" s="56" t="s">
        <v>52</v>
      </c>
      <c r="C11" s="56"/>
      <c r="D11" s="83">
        <v>0.25</v>
      </c>
    </row>
    <row r="12" spans="1:9" x14ac:dyDescent="0.25">
      <c r="B12" s="56"/>
      <c r="C12" s="56"/>
      <c r="D12" s="56"/>
    </row>
    <row r="13" spans="1:9" x14ac:dyDescent="0.25">
      <c r="B13" s="56" t="s">
        <v>43</v>
      </c>
      <c r="C13" s="56"/>
      <c r="D13" s="57">
        <v>135699999999.99998</v>
      </c>
    </row>
    <row r="14" spans="1:9" x14ac:dyDescent="0.25">
      <c r="B14" s="56" t="s">
        <v>53</v>
      </c>
      <c r="C14" s="56"/>
      <c r="D14" s="118">
        <f>D13/D20</f>
        <v>0.48585228228841076</v>
      </c>
    </row>
    <row r="15" spans="1:9" x14ac:dyDescent="0.25">
      <c r="B15" s="56" t="s">
        <v>54</v>
      </c>
      <c r="C15" s="56"/>
      <c r="D15" s="76">
        <f>D16+D17*D18</f>
        <v>7.5749999999999998E-2</v>
      </c>
    </row>
    <row r="16" spans="1:9" x14ac:dyDescent="0.25">
      <c r="B16" s="56" t="s">
        <v>55</v>
      </c>
      <c r="C16" s="56"/>
      <c r="D16" s="83">
        <v>2.9000000000000001E-2</v>
      </c>
    </row>
    <row r="17" spans="1:4" x14ac:dyDescent="0.25">
      <c r="B17" s="56" t="s">
        <v>56</v>
      </c>
      <c r="C17" s="56"/>
      <c r="D17" s="84">
        <v>0.85</v>
      </c>
    </row>
    <row r="18" spans="1:4" x14ac:dyDescent="0.25">
      <c r="B18" s="56" t="s">
        <v>57</v>
      </c>
      <c r="C18" s="56"/>
      <c r="D18" s="83">
        <v>5.5E-2</v>
      </c>
    </row>
    <row r="19" spans="1:4" x14ac:dyDescent="0.25">
      <c r="B19" s="56"/>
      <c r="C19" s="56"/>
      <c r="D19" s="56"/>
    </row>
    <row r="20" spans="1:4" x14ac:dyDescent="0.25">
      <c r="B20" s="77" t="s">
        <v>58</v>
      </c>
      <c r="C20" s="77"/>
      <c r="D20" s="78">
        <f>D8+D13</f>
        <v>279303000000</v>
      </c>
    </row>
    <row r="21" spans="1:4" x14ac:dyDescent="0.25">
      <c r="B21" s="56"/>
      <c r="C21" s="56"/>
      <c r="D21" s="56"/>
    </row>
    <row r="22" spans="1:4" x14ac:dyDescent="0.25">
      <c r="A22" t="s">
        <v>20</v>
      </c>
      <c r="B22" s="49" t="s">
        <v>23</v>
      </c>
      <c r="C22" s="79"/>
      <c r="D22" s="50">
        <f>(D9*D10*(1-D11))+(D14*D15)</f>
        <v>5.6469460585815402E-2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360E-6E22-4F48-A49A-B9403B8DBF47}">
  <dimension ref="A2:O76"/>
  <sheetViews>
    <sheetView showGridLines="0" workbookViewId="0"/>
  </sheetViews>
  <sheetFormatPr defaultRowHeight="15.75" x14ac:dyDescent="0.25"/>
  <cols>
    <col min="1" max="1" width="5.5" customWidth="1"/>
    <col min="15" max="15" width="1.875" customWidth="1"/>
  </cols>
  <sheetData>
    <row r="2" spans="1:14" s="3" customFormat="1" ht="21" x14ac:dyDescent="0.35">
      <c r="B2" s="6" t="s">
        <v>93</v>
      </c>
    </row>
    <row r="5" spans="1:14" x14ac:dyDescent="0.25">
      <c r="A5" t="s">
        <v>20</v>
      </c>
      <c r="B5" s="7" t="s">
        <v>21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B6" s="9" t="s">
        <v>22</v>
      </c>
    </row>
    <row r="7" spans="1:14" x14ac:dyDescent="0.25">
      <c r="B7" s="61" t="s">
        <v>23</v>
      </c>
      <c r="C7" s="61"/>
      <c r="D7" s="86">
        <f>'WACC TSystems'!D22</f>
        <v>5.6469460585815402E-2</v>
      </c>
    </row>
    <row r="8" spans="1:14" x14ac:dyDescent="0.25">
      <c r="B8" s="61" t="s">
        <v>24</v>
      </c>
      <c r="C8" s="61"/>
      <c r="D8" s="82">
        <v>1.4999999999999999E-2</v>
      </c>
    </row>
    <row r="9" spans="1:14" x14ac:dyDescent="0.25">
      <c r="B9" s="61" t="s">
        <v>52</v>
      </c>
      <c r="C9" s="61"/>
      <c r="D9" s="82">
        <v>0.31</v>
      </c>
    </row>
    <row r="11" spans="1:14" x14ac:dyDescent="0.25">
      <c r="B11" s="63" t="s">
        <v>69</v>
      </c>
    </row>
    <row r="12" spans="1:14" x14ac:dyDescent="0.25">
      <c r="B12" s="80" t="s">
        <v>63</v>
      </c>
      <c r="C12" s="80"/>
      <c r="D12" s="80"/>
      <c r="E12" s="81" t="s">
        <v>71</v>
      </c>
      <c r="F12" s="81" t="s">
        <v>72</v>
      </c>
      <c r="G12" s="81" t="s">
        <v>73</v>
      </c>
      <c r="H12" s="81" t="s">
        <v>74</v>
      </c>
      <c r="I12" s="81" t="s">
        <v>75</v>
      </c>
    </row>
    <row r="13" spans="1:14" x14ac:dyDescent="0.25">
      <c r="B13" s="61" t="s">
        <v>65</v>
      </c>
      <c r="C13" s="61"/>
      <c r="D13" s="61"/>
      <c r="E13" s="89">
        <v>2.5000000000000001E-2</v>
      </c>
      <c r="F13" s="89">
        <v>2.5000000000000001E-2</v>
      </c>
      <c r="G13" s="89">
        <v>0.02</v>
      </c>
      <c r="H13" s="89">
        <v>0.02</v>
      </c>
      <c r="I13" s="89">
        <v>0.02</v>
      </c>
      <c r="K13" s="115"/>
    </row>
    <row r="14" spans="1:14" x14ac:dyDescent="0.25">
      <c r="B14" s="61" t="s">
        <v>16</v>
      </c>
      <c r="C14" s="61"/>
      <c r="D14" s="61"/>
      <c r="E14" s="89">
        <v>4.4999999999999998E-2</v>
      </c>
      <c r="F14" s="89">
        <v>4.8000000000000001E-2</v>
      </c>
      <c r="G14" s="89">
        <v>0.05</v>
      </c>
      <c r="H14" s="89">
        <v>5.3999999999999999E-2</v>
      </c>
      <c r="I14" s="89">
        <v>5.7000000000000002E-2</v>
      </c>
    </row>
    <row r="15" spans="1:14" x14ac:dyDescent="0.25">
      <c r="B15" s="61" t="s">
        <v>76</v>
      </c>
      <c r="C15" s="61"/>
      <c r="D15" s="61"/>
      <c r="E15" s="89">
        <v>0.06</v>
      </c>
      <c r="F15" s="89">
        <v>5.5E-2</v>
      </c>
      <c r="G15" s="89">
        <v>5.5E-2</v>
      </c>
      <c r="H15" s="89">
        <v>5.1999999999999998E-2</v>
      </c>
      <c r="I15" s="89">
        <v>4.8000000000000001E-2</v>
      </c>
    </row>
    <row r="16" spans="1:14" x14ac:dyDescent="0.25">
      <c r="B16" s="61" t="s">
        <v>77</v>
      </c>
      <c r="C16" s="61"/>
      <c r="D16" s="61"/>
      <c r="E16" s="89">
        <v>5.1999999999999998E-2</v>
      </c>
      <c r="F16" s="89">
        <v>0.05</v>
      </c>
      <c r="G16" s="89">
        <v>4.8000000000000001E-2</v>
      </c>
      <c r="H16" s="89">
        <v>4.4999999999999998E-2</v>
      </c>
      <c r="I16" s="89">
        <v>4.8000000000000001E-2</v>
      </c>
    </row>
    <row r="17" spans="1:14" x14ac:dyDescent="0.25">
      <c r="B17" s="61" t="s">
        <v>78</v>
      </c>
      <c r="C17" s="61"/>
      <c r="D17" s="61"/>
      <c r="E17" s="89">
        <v>1.2E-2</v>
      </c>
      <c r="F17" s="89">
        <v>1.2E-2</v>
      </c>
      <c r="G17" s="89">
        <v>1.2E-2</v>
      </c>
      <c r="H17" s="89">
        <v>1.2E-2</v>
      </c>
      <c r="I17" s="89">
        <v>1.2E-2</v>
      </c>
    </row>
    <row r="20" spans="1:14" x14ac:dyDescent="0.25">
      <c r="J20" s="104">
        <v>1</v>
      </c>
      <c r="K20" s="104">
        <f>J20+1</f>
        <v>2</v>
      </c>
      <c r="L20" s="104">
        <f>K20+1</f>
        <v>3</v>
      </c>
      <c r="M20" s="104">
        <f t="shared" ref="M20:N20" si="0">L20+1</f>
        <v>4</v>
      </c>
      <c r="N20" s="104">
        <f t="shared" si="0"/>
        <v>5</v>
      </c>
    </row>
    <row r="21" spans="1:14" x14ac:dyDescent="0.25">
      <c r="A21" t="s">
        <v>20</v>
      </c>
      <c r="B21" s="7" t="s">
        <v>25</v>
      </c>
      <c r="C21" s="8"/>
      <c r="D21" s="8"/>
      <c r="E21" s="7">
        <v>2021</v>
      </c>
      <c r="F21" s="7">
        <f>E21+1</f>
        <v>2022</v>
      </c>
      <c r="G21" s="7">
        <f t="shared" ref="G21:N21" si="1">F21+1</f>
        <v>2023</v>
      </c>
      <c r="H21" s="7">
        <f t="shared" si="1"/>
        <v>2024</v>
      </c>
      <c r="I21" s="7">
        <f t="shared" si="1"/>
        <v>2025</v>
      </c>
      <c r="J21" s="7">
        <f t="shared" si="1"/>
        <v>2026</v>
      </c>
      <c r="K21" s="7">
        <f>J21+1</f>
        <v>2027</v>
      </c>
      <c r="L21" s="7">
        <f>K21+1</f>
        <v>2028</v>
      </c>
      <c r="M21" s="7">
        <f t="shared" si="1"/>
        <v>2029</v>
      </c>
      <c r="N21" s="7">
        <f t="shared" si="1"/>
        <v>2030</v>
      </c>
    </row>
    <row r="22" spans="1:14" x14ac:dyDescent="0.25">
      <c r="A22" s="10"/>
      <c r="B22" s="10" t="s">
        <v>26</v>
      </c>
      <c r="C22" s="10"/>
      <c r="D22" s="10"/>
      <c r="E22" s="11">
        <f>'04_Segment Financials'!C29</f>
        <v>3759</v>
      </c>
      <c r="F22" s="11">
        <f>'04_Segment Financials'!D29</f>
        <v>3811</v>
      </c>
      <c r="G22" s="11">
        <f>'04_Segment Financials'!E29</f>
        <v>3896</v>
      </c>
      <c r="H22" s="11">
        <f>'04_Segment Financials'!F29</f>
        <v>4004</v>
      </c>
      <c r="I22" s="11">
        <f>'04_Segment Financials'!G29</f>
        <v>4103</v>
      </c>
      <c r="J22" s="88">
        <f>I22*(1+E13)</f>
        <v>4205.5749999999998</v>
      </c>
      <c r="K22" s="18">
        <f>J22*(1+F13)</f>
        <v>4310.7143749999996</v>
      </c>
      <c r="L22" s="18">
        <f>K22*(1+G13)</f>
        <v>4396.9286624999995</v>
      </c>
      <c r="M22" s="18">
        <f>L22*(1+H13)</f>
        <v>4484.86723575</v>
      </c>
      <c r="N22" s="18">
        <f>M22*(1+I13)</f>
        <v>4574.5645804650003</v>
      </c>
    </row>
    <row r="23" spans="1:14" x14ac:dyDescent="0.25">
      <c r="A23" s="10"/>
      <c r="B23" s="12" t="s">
        <v>27</v>
      </c>
      <c r="C23" s="10"/>
      <c r="D23" s="10"/>
      <c r="E23" s="90" t="s">
        <v>68</v>
      </c>
      <c r="F23" s="13">
        <f t="shared" ref="F23:N23" si="2">F22/E22-1</f>
        <v>1.3833466347432877E-2</v>
      </c>
      <c r="G23" s="13">
        <f t="shared" si="2"/>
        <v>2.2303857255313586E-2</v>
      </c>
      <c r="H23" s="13">
        <f t="shared" si="2"/>
        <v>2.772073921971252E-2</v>
      </c>
      <c r="I23" s="13">
        <f t="shared" si="2"/>
        <v>2.4725274725274637E-2</v>
      </c>
      <c r="J23" s="106">
        <f t="shared" si="2"/>
        <v>2.4999999999999911E-2</v>
      </c>
      <c r="K23" s="13">
        <f t="shared" si="2"/>
        <v>2.4999999999999911E-2</v>
      </c>
      <c r="L23" s="13">
        <f t="shared" si="2"/>
        <v>2.0000000000000018E-2</v>
      </c>
      <c r="M23" s="13">
        <f t="shared" si="2"/>
        <v>2.0000000000000018E-2</v>
      </c>
      <c r="N23" s="13">
        <f t="shared" si="2"/>
        <v>2.0000000000000018E-2</v>
      </c>
    </row>
    <row r="24" spans="1:14" x14ac:dyDescent="0.25">
      <c r="A24" s="10"/>
      <c r="B24" s="16"/>
      <c r="C24" s="10"/>
      <c r="D24" s="10"/>
      <c r="E24" s="10"/>
      <c r="F24" s="10"/>
      <c r="G24" s="10"/>
      <c r="H24" s="10"/>
      <c r="I24" s="10"/>
      <c r="J24" s="107"/>
      <c r="K24" s="10"/>
      <c r="L24" s="10"/>
      <c r="M24" s="10"/>
      <c r="N24" s="10"/>
    </row>
    <row r="25" spans="1:14" x14ac:dyDescent="0.25">
      <c r="A25" s="10"/>
      <c r="B25" s="10" t="s">
        <v>28</v>
      </c>
      <c r="C25" s="10"/>
      <c r="D25" s="10"/>
      <c r="E25" s="11">
        <f>'04_Segment Financials'!C33</f>
        <v>28</v>
      </c>
      <c r="F25" s="11">
        <f>'04_Segment Financials'!D33</f>
        <v>56</v>
      </c>
      <c r="G25" s="11">
        <f>'04_Segment Financials'!E33</f>
        <v>103</v>
      </c>
      <c r="H25" s="11">
        <f>'04_Segment Financials'!F33</f>
        <v>148</v>
      </c>
      <c r="I25" s="11">
        <f>'04_Segment Financials'!G33</f>
        <v>175</v>
      </c>
      <c r="J25" s="88">
        <f>J22*E14</f>
        <v>189.25087499999998</v>
      </c>
      <c r="K25" s="18">
        <f>K22*F14</f>
        <v>206.91428999999999</v>
      </c>
      <c r="L25" s="18">
        <f>L22*G14</f>
        <v>219.84643312499998</v>
      </c>
      <c r="M25" s="18">
        <f>M22*H14</f>
        <v>242.1828307305</v>
      </c>
      <c r="N25" s="18">
        <f>N22*I14</f>
        <v>260.75018108650505</v>
      </c>
    </row>
    <row r="26" spans="1:14" x14ac:dyDescent="0.25">
      <c r="A26" s="10"/>
      <c r="B26" s="12" t="s">
        <v>29</v>
      </c>
      <c r="C26" s="10"/>
      <c r="D26" s="10"/>
      <c r="E26" s="13">
        <f>E25/E$22</f>
        <v>7.4487895716945996E-3</v>
      </c>
      <c r="F26" s="13">
        <f t="shared" ref="F26:N26" si="3">F25/F$22</f>
        <v>1.4694305956441878E-2</v>
      </c>
      <c r="G26" s="13">
        <f t="shared" si="3"/>
        <v>2.6437371663244353E-2</v>
      </c>
      <c r="H26" s="13">
        <f t="shared" si="3"/>
        <v>3.696303696303696E-2</v>
      </c>
      <c r="I26" s="13">
        <f t="shared" si="3"/>
        <v>4.2651718254935411E-2</v>
      </c>
      <c r="J26" s="106">
        <f t="shared" si="3"/>
        <v>4.4999999999999998E-2</v>
      </c>
      <c r="K26" s="13">
        <f t="shared" si="3"/>
        <v>4.8000000000000001E-2</v>
      </c>
      <c r="L26" s="13">
        <f t="shared" si="3"/>
        <v>0.05</v>
      </c>
      <c r="M26" s="13">
        <f t="shared" si="3"/>
        <v>5.3999999999999999E-2</v>
      </c>
      <c r="N26" s="13">
        <f t="shared" si="3"/>
        <v>5.7000000000000009E-2</v>
      </c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8"/>
    </row>
    <row r="28" spans="1:14" x14ac:dyDescent="0.25">
      <c r="A28" s="10"/>
      <c r="B28" s="10" t="s">
        <v>30</v>
      </c>
      <c r="C28" s="10"/>
      <c r="D28" s="10"/>
      <c r="E28" s="11">
        <f>E25*$D$9</f>
        <v>8.68</v>
      </c>
      <c r="F28" s="11">
        <f t="shared" ref="F28:I28" si="4">F25*$D$9</f>
        <v>17.36</v>
      </c>
      <c r="G28" s="11">
        <f t="shared" si="4"/>
        <v>31.93</v>
      </c>
      <c r="H28" s="11">
        <f t="shared" si="4"/>
        <v>45.88</v>
      </c>
      <c r="I28" s="11">
        <f t="shared" si="4"/>
        <v>54.25</v>
      </c>
      <c r="J28" s="88">
        <f>J25*$D$9</f>
        <v>58.667771249999994</v>
      </c>
      <c r="K28" s="18">
        <f>K25*$D$9</f>
        <v>64.143429900000001</v>
      </c>
      <c r="L28" s="18">
        <f>L25*$D$9</f>
        <v>68.152394268749987</v>
      </c>
      <c r="M28" s="18">
        <f>M25*$D$9</f>
        <v>75.076677526455001</v>
      </c>
      <c r="N28" s="18">
        <f>N25*$D$9</f>
        <v>80.832556136816564</v>
      </c>
    </row>
    <row r="29" spans="1:14" x14ac:dyDescent="0.25">
      <c r="A29" s="10"/>
      <c r="B29" s="12" t="s">
        <v>31</v>
      </c>
      <c r="C29" s="10"/>
      <c r="D29" s="10"/>
      <c r="E29" s="13">
        <f>E28/E$25</f>
        <v>0.31</v>
      </c>
      <c r="F29" s="13">
        <f t="shared" ref="F29:N29" si="5">F28/F$25</f>
        <v>0.31</v>
      </c>
      <c r="G29" s="13">
        <f t="shared" si="5"/>
        <v>0.31</v>
      </c>
      <c r="H29" s="13">
        <f t="shared" si="5"/>
        <v>0.31</v>
      </c>
      <c r="I29" s="13">
        <f t="shared" si="5"/>
        <v>0.31</v>
      </c>
      <c r="J29" s="106">
        <f t="shared" si="5"/>
        <v>0.31</v>
      </c>
      <c r="K29" s="13">
        <f t="shared" si="5"/>
        <v>0.31</v>
      </c>
      <c r="L29" s="13">
        <f t="shared" si="5"/>
        <v>0.31</v>
      </c>
      <c r="M29" s="13">
        <f t="shared" si="5"/>
        <v>0.31</v>
      </c>
      <c r="N29" s="13">
        <f t="shared" si="5"/>
        <v>0.31</v>
      </c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7"/>
      <c r="J30" s="10"/>
      <c r="K30" s="10"/>
      <c r="L30" s="10"/>
      <c r="M30" s="10"/>
      <c r="N30" s="10"/>
    </row>
    <row r="31" spans="1:14" x14ac:dyDescent="0.25">
      <c r="A31" t="s">
        <v>20</v>
      </c>
      <c r="B31" s="7" t="s">
        <v>32</v>
      </c>
      <c r="C31" s="8"/>
      <c r="D31" s="8"/>
      <c r="E31" s="7">
        <v>2021</v>
      </c>
      <c r="F31" s="7">
        <f>E31+1</f>
        <v>2022</v>
      </c>
      <c r="G31" s="7">
        <f t="shared" ref="G31:N31" si="6">F31+1</f>
        <v>2023</v>
      </c>
      <c r="H31" s="7">
        <f t="shared" si="6"/>
        <v>2024</v>
      </c>
      <c r="I31" s="7">
        <f t="shared" si="6"/>
        <v>2025</v>
      </c>
      <c r="J31" s="7">
        <f t="shared" si="6"/>
        <v>2026</v>
      </c>
      <c r="K31" s="7">
        <f>J31+1</f>
        <v>2027</v>
      </c>
      <c r="L31" s="7">
        <f>K31+1</f>
        <v>2028</v>
      </c>
      <c r="M31" s="7">
        <f t="shared" si="6"/>
        <v>2029</v>
      </c>
      <c r="N31" s="7">
        <f t="shared" si="6"/>
        <v>2030</v>
      </c>
    </row>
    <row r="32" spans="1:14" x14ac:dyDescent="0.25">
      <c r="A32" s="10"/>
      <c r="B32" s="10" t="s">
        <v>33</v>
      </c>
      <c r="C32" s="10"/>
      <c r="D32" s="10"/>
      <c r="E32" s="11">
        <f>'04_Segment Financials'!C35</f>
        <v>243</v>
      </c>
      <c r="F32" s="11">
        <f>'04_Segment Financials'!D35</f>
        <v>228</v>
      </c>
      <c r="G32" s="11">
        <f>'04_Segment Financials'!E35</f>
        <v>218</v>
      </c>
      <c r="H32" s="11">
        <f>'04_Segment Financials'!F35</f>
        <v>221</v>
      </c>
      <c r="I32" s="11">
        <f>'04_Segment Financials'!G35</f>
        <v>252</v>
      </c>
      <c r="J32" s="88">
        <f>J22*E15</f>
        <v>252.33449999999999</v>
      </c>
      <c r="K32" s="18">
        <f t="shared" ref="K32:N32" si="7">K22*F15</f>
        <v>237.08929062499999</v>
      </c>
      <c r="L32" s="18">
        <f t="shared" si="7"/>
        <v>241.83107643749997</v>
      </c>
      <c r="M32" s="18">
        <f t="shared" si="7"/>
        <v>233.213096259</v>
      </c>
      <c r="N32" s="18">
        <f t="shared" si="7"/>
        <v>219.57909986232002</v>
      </c>
    </row>
    <row r="33" spans="1:14" x14ac:dyDescent="0.25">
      <c r="A33" s="10"/>
      <c r="B33" s="12" t="s">
        <v>29</v>
      </c>
      <c r="C33" s="10"/>
      <c r="D33" s="10"/>
      <c r="E33" s="13">
        <f>E32/E$22</f>
        <v>6.4644852354349566E-2</v>
      </c>
      <c r="F33" s="13">
        <f t="shared" ref="F33:N33" si="8">F32/F$22</f>
        <v>5.9826817108370504E-2</v>
      </c>
      <c r="G33" s="13">
        <f t="shared" si="8"/>
        <v>5.5954825462012317E-2</v>
      </c>
      <c r="H33" s="13">
        <f t="shared" si="8"/>
        <v>5.5194805194805192E-2</v>
      </c>
      <c r="I33" s="13">
        <f t="shared" si="8"/>
        <v>6.1418474287106992E-2</v>
      </c>
      <c r="J33" s="106">
        <f t="shared" si="8"/>
        <v>0.06</v>
      </c>
      <c r="K33" s="13">
        <f t="shared" si="8"/>
        <v>5.5E-2</v>
      </c>
      <c r="L33" s="13">
        <f t="shared" si="8"/>
        <v>5.5E-2</v>
      </c>
      <c r="M33" s="13">
        <f t="shared" si="8"/>
        <v>5.1999999999999998E-2</v>
      </c>
      <c r="N33" s="13">
        <f t="shared" si="8"/>
        <v>4.8000000000000001E-2</v>
      </c>
    </row>
    <row r="34" spans="1:14" x14ac:dyDescent="0.25">
      <c r="A34" s="10"/>
      <c r="B34" s="10"/>
      <c r="C34" s="10"/>
      <c r="D34" s="10"/>
      <c r="E34" s="18"/>
      <c r="F34" s="18"/>
      <c r="G34" s="18"/>
      <c r="H34" s="18"/>
      <c r="I34" s="19"/>
      <c r="J34" s="18"/>
      <c r="K34" s="18"/>
      <c r="L34" s="18"/>
      <c r="M34" s="18"/>
      <c r="N34" s="18"/>
    </row>
    <row r="35" spans="1:14" x14ac:dyDescent="0.25">
      <c r="A35" s="10"/>
      <c r="B35" s="10" t="s">
        <v>10</v>
      </c>
      <c r="C35" s="10"/>
      <c r="D35" s="10"/>
      <c r="E35" s="11">
        <f>'04_Segment Financials'!C37</f>
        <v>235</v>
      </c>
      <c r="F35" s="11">
        <f>'04_Segment Financials'!D37</f>
        <v>221</v>
      </c>
      <c r="G35" s="11">
        <f>'04_Segment Financials'!E37</f>
        <v>210</v>
      </c>
      <c r="H35" s="11">
        <f>'04_Segment Financials'!F37</f>
        <v>229</v>
      </c>
      <c r="I35" s="11">
        <f>'04_Segment Financials'!G37</f>
        <v>220</v>
      </c>
      <c r="J35" s="88">
        <f>J22*E16</f>
        <v>218.68989999999999</v>
      </c>
      <c r="K35" s="18">
        <f t="shared" ref="K35:N35" si="9">K22*F16</f>
        <v>215.53571875</v>
      </c>
      <c r="L35" s="18">
        <f t="shared" si="9"/>
        <v>211.05257579999997</v>
      </c>
      <c r="M35" s="18">
        <f t="shared" si="9"/>
        <v>201.81902560875</v>
      </c>
      <c r="N35" s="18">
        <f t="shared" si="9"/>
        <v>219.57909986232002</v>
      </c>
    </row>
    <row r="36" spans="1:14" x14ac:dyDescent="0.25">
      <c r="A36" s="10"/>
      <c r="B36" s="12" t="s">
        <v>29</v>
      </c>
      <c r="C36" s="10"/>
      <c r="D36" s="10"/>
      <c r="E36" s="13">
        <f t="shared" ref="E36:N36" si="10">E35/E$22</f>
        <v>6.2516626762436814E-2</v>
      </c>
      <c r="F36" s="13">
        <f t="shared" si="10"/>
        <v>5.7990028863815268E-2</v>
      </c>
      <c r="G36" s="13">
        <f t="shared" si="10"/>
        <v>5.3901437371663245E-2</v>
      </c>
      <c r="H36" s="13">
        <f t="shared" si="10"/>
        <v>5.7192807192807192E-2</v>
      </c>
      <c r="I36" s="14">
        <f t="shared" si="10"/>
        <v>5.3619302949061663E-2</v>
      </c>
      <c r="J36" s="15">
        <f t="shared" si="10"/>
        <v>5.1999999999999998E-2</v>
      </c>
      <c r="K36" s="15">
        <f t="shared" si="10"/>
        <v>0.05</v>
      </c>
      <c r="L36" s="15">
        <f t="shared" si="10"/>
        <v>4.8000000000000001E-2</v>
      </c>
      <c r="M36" s="15">
        <f t="shared" si="10"/>
        <v>4.4999999999999998E-2</v>
      </c>
      <c r="N36" s="15">
        <f t="shared" si="10"/>
        <v>4.8000000000000001E-2</v>
      </c>
    </row>
    <row r="37" spans="1:14" x14ac:dyDescent="0.25">
      <c r="A37" s="10"/>
      <c r="B37" s="10"/>
      <c r="C37" s="10"/>
      <c r="D37" s="10"/>
      <c r="E37" s="18"/>
      <c r="F37" s="18"/>
      <c r="G37" s="18"/>
      <c r="H37" s="18"/>
      <c r="I37" s="19"/>
      <c r="J37" s="18"/>
      <c r="K37" s="18"/>
      <c r="L37" s="18"/>
      <c r="M37" s="18"/>
      <c r="N37" s="18"/>
    </row>
    <row r="38" spans="1:14" x14ac:dyDescent="0.25">
      <c r="A38" s="10"/>
      <c r="B38" s="10" t="s">
        <v>34</v>
      </c>
      <c r="C38" s="10"/>
      <c r="D38" s="10"/>
      <c r="E38" s="102" t="s">
        <v>68</v>
      </c>
      <c r="F38" s="20">
        <f>'04_Segment Financials'!D59</f>
        <v>-0.69924836625855846</v>
      </c>
      <c r="G38" s="20">
        <f>'04_Segment Financials'!E59</f>
        <v>43.168849395189213</v>
      </c>
      <c r="H38" s="20">
        <f>'04_Segment Financials'!F59</f>
        <v>66.03968514527142</v>
      </c>
      <c r="I38" s="20">
        <f>'04_Segment Financials'!G59</f>
        <v>41.690930768792072</v>
      </c>
      <c r="J38" s="88">
        <f>J22*E17</f>
        <v>50.466899999999995</v>
      </c>
      <c r="K38" s="18">
        <f t="shared" ref="K38:N38" si="11">K22*F17</f>
        <v>51.728572499999999</v>
      </c>
      <c r="L38" s="18">
        <f t="shared" si="11"/>
        <v>52.763143949999993</v>
      </c>
      <c r="M38" s="18">
        <f t="shared" si="11"/>
        <v>53.818406829000004</v>
      </c>
      <c r="N38" s="18">
        <f t="shared" si="11"/>
        <v>54.894774965580005</v>
      </c>
    </row>
    <row r="39" spans="1:14" x14ac:dyDescent="0.25">
      <c r="A39" s="10"/>
      <c r="B39" s="12" t="s">
        <v>29</v>
      </c>
      <c r="C39" s="10"/>
      <c r="D39" s="10"/>
      <c r="E39" s="101"/>
      <c r="F39" s="21">
        <f t="shared" ref="F39:N39" si="12">F38/F$22</f>
        <v>-1.834815970240248E-4</v>
      </c>
      <c r="G39" s="21">
        <f t="shared" si="12"/>
        <v>1.1080300152769305E-2</v>
      </c>
      <c r="H39" s="21">
        <f t="shared" si="12"/>
        <v>1.6493427858459395E-2</v>
      </c>
      <c r="I39" s="22">
        <f t="shared" si="12"/>
        <v>1.0161084759637356E-2</v>
      </c>
      <c r="J39" s="103">
        <f t="shared" si="12"/>
        <v>1.2E-2</v>
      </c>
      <c r="K39" s="103">
        <f t="shared" si="12"/>
        <v>1.2E-2</v>
      </c>
      <c r="L39" s="103">
        <f t="shared" si="12"/>
        <v>1.2E-2</v>
      </c>
      <c r="M39" s="103">
        <f t="shared" si="12"/>
        <v>1.2E-2</v>
      </c>
      <c r="N39" s="103">
        <f t="shared" si="12"/>
        <v>1.2E-2</v>
      </c>
    </row>
    <row r="40" spans="1:14" x14ac:dyDescent="0.25">
      <c r="I40" s="23"/>
      <c r="J40" s="104">
        <v>1</v>
      </c>
      <c r="K40" s="104">
        <f>J40+1</f>
        <v>2</v>
      </c>
      <c r="L40" s="104">
        <f>K40+1</f>
        <v>3</v>
      </c>
      <c r="M40" s="104">
        <f t="shared" ref="M40:N40" si="13">L40+1</f>
        <v>4</v>
      </c>
      <c r="N40" s="104">
        <f t="shared" si="13"/>
        <v>5</v>
      </c>
    </row>
    <row r="41" spans="1:14" x14ac:dyDescent="0.25">
      <c r="A41" t="s">
        <v>20</v>
      </c>
      <c r="B41" s="7" t="s">
        <v>2</v>
      </c>
      <c r="C41" s="8"/>
      <c r="D41" s="8"/>
      <c r="E41" s="7">
        <v>2021</v>
      </c>
      <c r="F41" s="7">
        <f>E41+1</f>
        <v>2022</v>
      </c>
      <c r="G41" s="7">
        <f t="shared" ref="G41:N41" si="14">F41+1</f>
        <v>2023</v>
      </c>
      <c r="H41" s="7">
        <f t="shared" si="14"/>
        <v>2024</v>
      </c>
      <c r="I41" s="7">
        <f t="shared" si="14"/>
        <v>2025</v>
      </c>
      <c r="J41" s="7">
        <f t="shared" si="14"/>
        <v>2026</v>
      </c>
      <c r="K41" s="7">
        <f>J41+1</f>
        <v>2027</v>
      </c>
      <c r="L41" s="7">
        <f>K41+1</f>
        <v>2028</v>
      </c>
      <c r="M41" s="7">
        <f t="shared" si="14"/>
        <v>2029</v>
      </c>
      <c r="N41" s="7">
        <f t="shared" si="14"/>
        <v>2030</v>
      </c>
    </row>
    <row r="42" spans="1:14" x14ac:dyDescent="0.25">
      <c r="B42" t="s">
        <v>26</v>
      </c>
      <c r="E42" s="24">
        <f>E22</f>
        <v>3759</v>
      </c>
      <c r="F42" s="24">
        <f>F22</f>
        <v>3811</v>
      </c>
      <c r="G42" s="24">
        <f>G22</f>
        <v>3896</v>
      </c>
      <c r="H42" s="24">
        <f>H22</f>
        <v>4004</v>
      </c>
      <c r="I42" s="25">
        <f>I22</f>
        <v>4103</v>
      </c>
      <c r="J42" s="24">
        <f>I42*(1+J43)</f>
        <v>4205.5749999999998</v>
      </c>
      <c r="K42" s="24">
        <f>J42*(1+K43)</f>
        <v>4310.7143749999996</v>
      </c>
      <c r="L42" s="24">
        <f>K42*(1+L43)</f>
        <v>4396.9286624999995</v>
      </c>
      <c r="M42" s="24">
        <f t="shared" ref="M42:N42" si="15">L42*(1+M43)</f>
        <v>4484.86723575</v>
      </c>
      <c r="N42" s="24">
        <f t="shared" si="15"/>
        <v>4574.5645804650003</v>
      </c>
    </row>
    <row r="43" spans="1:14" x14ac:dyDescent="0.25">
      <c r="B43" s="26" t="s">
        <v>27</v>
      </c>
      <c r="E43" s="27"/>
      <c r="F43" s="27">
        <f>F42/E42-1</f>
        <v>1.3833466347432877E-2</v>
      </c>
      <c r="G43" s="27">
        <f>G42/F42-1</f>
        <v>2.2303857255313586E-2</v>
      </c>
      <c r="H43" s="27">
        <f>H42/G42-1</f>
        <v>2.772073921971252E-2</v>
      </c>
      <c r="I43" s="28">
        <f>I42/H42-1</f>
        <v>2.4725274725274637E-2</v>
      </c>
      <c r="J43" s="111">
        <f>J23</f>
        <v>2.4999999999999911E-2</v>
      </c>
      <c r="K43" s="111">
        <f>K23</f>
        <v>2.4999999999999911E-2</v>
      </c>
      <c r="L43" s="111">
        <f>L23</f>
        <v>2.0000000000000018E-2</v>
      </c>
      <c r="M43" s="111">
        <f>M23</f>
        <v>2.0000000000000018E-2</v>
      </c>
      <c r="N43" s="111">
        <f>N23</f>
        <v>2.0000000000000018E-2</v>
      </c>
    </row>
    <row r="44" spans="1:14" x14ac:dyDescent="0.25">
      <c r="I44" s="23"/>
    </row>
    <row r="45" spans="1:14" x14ac:dyDescent="0.25">
      <c r="B45" t="s">
        <v>28</v>
      </c>
      <c r="E45" s="24">
        <f>E25</f>
        <v>28</v>
      </c>
      <c r="F45" s="24">
        <f>F25</f>
        <v>56</v>
      </c>
      <c r="G45" s="24">
        <f>G25</f>
        <v>103</v>
      </c>
      <c r="H45" s="24">
        <f>H25</f>
        <v>148</v>
      </c>
      <c r="I45" s="25">
        <f>I25</f>
        <v>175</v>
      </c>
      <c r="J45" s="24">
        <f>J46*J42</f>
        <v>189.25087499999998</v>
      </c>
      <c r="K45" s="24">
        <f>K46*K42</f>
        <v>206.91428999999999</v>
      </c>
      <c r="L45" s="24">
        <f>L46*L42</f>
        <v>219.84643312499998</v>
      </c>
      <c r="M45" s="24">
        <f>M46*M42</f>
        <v>242.1828307305</v>
      </c>
      <c r="N45" s="24">
        <f>N46*N42</f>
        <v>260.75018108650505</v>
      </c>
    </row>
    <row r="46" spans="1:14" x14ac:dyDescent="0.25">
      <c r="B46" s="26" t="s">
        <v>35</v>
      </c>
      <c r="E46" s="27">
        <f>E45/E42</f>
        <v>7.4487895716945996E-3</v>
      </c>
      <c r="F46" s="27">
        <f>F45/F42</f>
        <v>1.4694305956441878E-2</v>
      </c>
      <c r="G46" s="27">
        <f>G45/G42</f>
        <v>2.6437371663244353E-2</v>
      </c>
      <c r="H46" s="27">
        <f>H45/H42</f>
        <v>3.696303696303696E-2</v>
      </c>
      <c r="I46" s="28">
        <f>I45/I42</f>
        <v>4.2651718254935411E-2</v>
      </c>
      <c r="J46" s="111">
        <f>J26</f>
        <v>4.4999999999999998E-2</v>
      </c>
      <c r="K46" s="111">
        <f>K26</f>
        <v>4.8000000000000001E-2</v>
      </c>
      <c r="L46" s="111">
        <f>L26</f>
        <v>0.05</v>
      </c>
      <c r="M46" s="111">
        <f>M26</f>
        <v>5.3999999999999999E-2</v>
      </c>
      <c r="N46" s="111">
        <f>N26</f>
        <v>5.7000000000000009E-2</v>
      </c>
    </row>
    <row r="47" spans="1:14" x14ac:dyDescent="0.25">
      <c r="I47" s="23"/>
      <c r="K47" s="110"/>
      <c r="L47" s="29"/>
    </row>
    <row r="48" spans="1:14" x14ac:dyDescent="0.25">
      <c r="B48" t="s">
        <v>30</v>
      </c>
      <c r="E48" s="24">
        <f>E28</f>
        <v>8.68</v>
      </c>
      <c r="F48" s="24">
        <f>F28</f>
        <v>17.36</v>
      </c>
      <c r="G48" s="24">
        <f>G28</f>
        <v>31.93</v>
      </c>
      <c r="H48" s="24">
        <f>H28</f>
        <v>45.88</v>
      </c>
      <c r="I48" s="25">
        <f>I28</f>
        <v>54.25</v>
      </c>
      <c r="J48" s="24">
        <f>J49*J45</f>
        <v>58.667771249999994</v>
      </c>
      <c r="K48" s="24">
        <f>K49*K45</f>
        <v>64.143429900000001</v>
      </c>
      <c r="L48" s="24">
        <f>L49*L45</f>
        <v>68.152394268749987</v>
      </c>
      <c r="M48" s="24">
        <f>M49*M45</f>
        <v>75.076677526455001</v>
      </c>
      <c r="N48" s="24">
        <f>N49*N45</f>
        <v>80.832556136816564</v>
      </c>
    </row>
    <row r="49" spans="2:14" x14ac:dyDescent="0.25">
      <c r="B49" s="26" t="s">
        <v>31</v>
      </c>
      <c r="E49" s="27">
        <f>E48/E45</f>
        <v>0.31</v>
      </c>
      <c r="F49" s="27">
        <f>F48/F45</f>
        <v>0.31</v>
      </c>
      <c r="G49" s="27">
        <f>G48/G45</f>
        <v>0.31</v>
      </c>
      <c r="H49" s="27">
        <f>H48/H45</f>
        <v>0.31</v>
      </c>
      <c r="I49" s="28">
        <f>I48/I45</f>
        <v>0.31</v>
      </c>
      <c r="J49" s="111">
        <f>J29</f>
        <v>0.31</v>
      </c>
      <c r="K49" s="111">
        <f>K29</f>
        <v>0.31</v>
      </c>
      <c r="L49" s="111">
        <f>L29</f>
        <v>0.31</v>
      </c>
      <c r="M49" s="111">
        <f>M29</f>
        <v>0.31</v>
      </c>
      <c r="N49" s="111">
        <f>N29</f>
        <v>0.31</v>
      </c>
    </row>
    <row r="50" spans="2:14" x14ac:dyDescent="0.25">
      <c r="I50" s="23"/>
    </row>
    <row r="51" spans="2:14" x14ac:dyDescent="0.25">
      <c r="B51" s="30" t="s">
        <v>59</v>
      </c>
      <c r="C51" s="31"/>
      <c r="D51" s="31"/>
      <c r="E51" s="31"/>
      <c r="F51" s="31"/>
      <c r="G51" s="31"/>
      <c r="H51" s="31"/>
      <c r="I51" s="32"/>
      <c r="J51" s="33">
        <f>J45-J48</f>
        <v>130.58310374999999</v>
      </c>
      <c r="K51" s="33">
        <f>K45-K48</f>
        <v>142.77086009999999</v>
      </c>
      <c r="L51" s="33">
        <f>L45-L48</f>
        <v>151.69403885624999</v>
      </c>
      <c r="M51" s="33">
        <f>M45-M48</f>
        <v>167.106153204045</v>
      </c>
      <c r="N51" s="34">
        <f>N45-N48</f>
        <v>179.9176249496885</v>
      </c>
    </row>
    <row r="52" spans="2:14" x14ac:dyDescent="0.25">
      <c r="I52" s="23"/>
      <c r="K52" s="35"/>
    </row>
    <row r="53" spans="2:14" x14ac:dyDescent="0.25">
      <c r="B53" t="s">
        <v>33</v>
      </c>
      <c r="E53" s="24">
        <f t="shared" ref="E53:N53" si="16">E32</f>
        <v>243</v>
      </c>
      <c r="F53" s="24">
        <f t="shared" si="16"/>
        <v>228</v>
      </c>
      <c r="G53" s="24">
        <f t="shared" si="16"/>
        <v>218</v>
      </c>
      <c r="H53" s="24">
        <f t="shared" si="16"/>
        <v>221</v>
      </c>
      <c r="I53" s="25">
        <f t="shared" si="16"/>
        <v>252</v>
      </c>
      <c r="J53" s="24">
        <f t="shared" si="16"/>
        <v>252.33449999999999</v>
      </c>
      <c r="K53" s="24">
        <f t="shared" si="16"/>
        <v>237.08929062499999</v>
      </c>
      <c r="L53" s="24">
        <f t="shared" si="16"/>
        <v>241.83107643749997</v>
      </c>
      <c r="M53" s="24">
        <f t="shared" si="16"/>
        <v>233.213096259</v>
      </c>
      <c r="N53" s="24">
        <f t="shared" si="16"/>
        <v>219.57909986232002</v>
      </c>
    </row>
    <row r="54" spans="2:14" x14ac:dyDescent="0.25">
      <c r="B54" s="26" t="s">
        <v>29</v>
      </c>
      <c r="E54" s="27">
        <f t="shared" ref="E54:N54" si="17">E53/E$42</f>
        <v>6.4644852354349566E-2</v>
      </c>
      <c r="F54" s="27">
        <f t="shared" si="17"/>
        <v>5.9826817108370504E-2</v>
      </c>
      <c r="G54" s="27">
        <f t="shared" si="17"/>
        <v>5.5954825462012317E-2</v>
      </c>
      <c r="H54" s="27">
        <f t="shared" si="17"/>
        <v>5.5194805194805192E-2</v>
      </c>
      <c r="I54" s="28">
        <f t="shared" si="17"/>
        <v>6.1418474287106992E-2</v>
      </c>
      <c r="J54" s="36">
        <f t="shared" si="17"/>
        <v>0.06</v>
      </c>
      <c r="K54" s="36">
        <f t="shared" si="17"/>
        <v>5.5E-2</v>
      </c>
      <c r="L54" s="36">
        <f t="shared" si="17"/>
        <v>5.5E-2</v>
      </c>
      <c r="M54" s="36">
        <f t="shared" si="17"/>
        <v>5.1999999999999998E-2</v>
      </c>
      <c r="N54" s="36">
        <f t="shared" si="17"/>
        <v>4.8000000000000001E-2</v>
      </c>
    </row>
    <row r="55" spans="2:14" x14ac:dyDescent="0.25">
      <c r="I55" s="23"/>
    </row>
    <row r="56" spans="2:14" x14ac:dyDescent="0.25">
      <c r="B56" t="s">
        <v>10</v>
      </c>
      <c r="E56" s="24">
        <f t="shared" ref="E56:N56" si="18">E35</f>
        <v>235</v>
      </c>
      <c r="F56" s="24">
        <f t="shared" si="18"/>
        <v>221</v>
      </c>
      <c r="G56" s="24">
        <f t="shared" si="18"/>
        <v>210</v>
      </c>
      <c r="H56" s="24">
        <f t="shared" si="18"/>
        <v>229</v>
      </c>
      <c r="I56" s="25">
        <f t="shared" si="18"/>
        <v>220</v>
      </c>
      <c r="J56" s="24">
        <f t="shared" si="18"/>
        <v>218.68989999999999</v>
      </c>
      <c r="K56" s="24">
        <f t="shared" si="18"/>
        <v>215.53571875</v>
      </c>
      <c r="L56" s="24">
        <f t="shared" si="18"/>
        <v>211.05257579999997</v>
      </c>
      <c r="M56" s="24">
        <f t="shared" si="18"/>
        <v>201.81902560875</v>
      </c>
      <c r="N56" s="24">
        <f t="shared" si="18"/>
        <v>219.57909986232002</v>
      </c>
    </row>
    <row r="57" spans="2:14" x14ac:dyDescent="0.25">
      <c r="B57" s="26" t="s">
        <v>29</v>
      </c>
      <c r="E57" s="27">
        <f t="shared" ref="E57:N57" si="19">E56/E$42</f>
        <v>6.2516626762436814E-2</v>
      </c>
      <c r="F57" s="27">
        <f t="shared" si="19"/>
        <v>5.7990028863815268E-2</v>
      </c>
      <c r="G57" s="27">
        <f t="shared" si="19"/>
        <v>5.3901437371663245E-2</v>
      </c>
      <c r="H57" s="27">
        <f t="shared" si="19"/>
        <v>5.7192807192807192E-2</v>
      </c>
      <c r="I57" s="28">
        <f t="shared" si="19"/>
        <v>5.3619302949061663E-2</v>
      </c>
      <c r="J57" s="36">
        <f t="shared" si="19"/>
        <v>5.1999999999999998E-2</v>
      </c>
      <c r="K57" s="36">
        <f t="shared" si="19"/>
        <v>0.05</v>
      </c>
      <c r="L57" s="36">
        <f t="shared" si="19"/>
        <v>4.8000000000000001E-2</v>
      </c>
      <c r="M57" s="36">
        <f t="shared" si="19"/>
        <v>4.4999999999999998E-2</v>
      </c>
      <c r="N57" s="36">
        <f t="shared" si="19"/>
        <v>4.8000000000000001E-2</v>
      </c>
    </row>
    <row r="58" spans="2:14" x14ac:dyDescent="0.25">
      <c r="I58" s="23"/>
    </row>
    <row r="59" spans="2:14" x14ac:dyDescent="0.25">
      <c r="B59" t="s">
        <v>34</v>
      </c>
      <c r="E59" s="105" t="str">
        <f t="shared" ref="E59:N59" si="20">E38</f>
        <v>-</v>
      </c>
      <c r="F59" s="37">
        <f t="shared" si="20"/>
        <v>-0.69924836625855846</v>
      </c>
      <c r="G59" s="37">
        <f t="shared" si="20"/>
        <v>43.168849395189213</v>
      </c>
      <c r="H59" s="37">
        <f t="shared" si="20"/>
        <v>66.03968514527142</v>
      </c>
      <c r="I59" s="38">
        <f t="shared" si="20"/>
        <v>41.690930768792072</v>
      </c>
      <c r="J59" s="37">
        <f t="shared" si="20"/>
        <v>50.466899999999995</v>
      </c>
      <c r="K59" s="37">
        <f t="shared" si="20"/>
        <v>51.728572499999999</v>
      </c>
      <c r="L59" s="37">
        <f t="shared" si="20"/>
        <v>52.763143949999993</v>
      </c>
      <c r="M59" s="37">
        <f t="shared" si="20"/>
        <v>53.818406829000004</v>
      </c>
      <c r="N59" s="37">
        <f t="shared" si="20"/>
        <v>54.894774965580005</v>
      </c>
    </row>
    <row r="60" spans="2:14" x14ac:dyDescent="0.25">
      <c r="B60" s="26" t="s">
        <v>29</v>
      </c>
      <c r="E60" s="21"/>
      <c r="F60" s="21">
        <f>F59/F$42</f>
        <v>-1.834815970240248E-4</v>
      </c>
      <c r="G60" s="21">
        <f t="shared" ref="G60:N60" si="21">G59/G$42</f>
        <v>1.1080300152769305E-2</v>
      </c>
      <c r="H60" s="21">
        <f t="shared" si="21"/>
        <v>1.6493427858459395E-2</v>
      </c>
      <c r="I60" s="21">
        <f t="shared" si="21"/>
        <v>1.0161084759637356E-2</v>
      </c>
      <c r="J60" s="109">
        <f t="shared" si="21"/>
        <v>1.2E-2</v>
      </c>
      <c r="K60" s="21">
        <f t="shared" si="21"/>
        <v>1.2E-2</v>
      </c>
      <c r="L60" s="21">
        <f t="shared" si="21"/>
        <v>1.2E-2</v>
      </c>
      <c r="M60" s="21">
        <f t="shared" si="21"/>
        <v>1.2E-2</v>
      </c>
      <c r="N60" s="21">
        <f t="shared" si="21"/>
        <v>1.2E-2</v>
      </c>
    </row>
    <row r="61" spans="2:14" x14ac:dyDescent="0.25">
      <c r="I61" s="40"/>
    </row>
    <row r="62" spans="2:14" x14ac:dyDescent="0.25">
      <c r="B62" s="30" t="s">
        <v>36</v>
      </c>
      <c r="C62" s="31"/>
      <c r="D62" s="31"/>
      <c r="E62" s="31"/>
      <c r="F62" s="31"/>
      <c r="G62" s="31"/>
      <c r="H62" s="31"/>
      <c r="I62" s="32"/>
      <c r="J62" s="41">
        <f>J51+J53-J56-J59</f>
        <v>113.76080375000002</v>
      </c>
      <c r="K62" s="41">
        <f t="shared" ref="K62:N62" si="22">K51+K53-K56-K59</f>
        <v>112.59585947499998</v>
      </c>
      <c r="L62" s="41">
        <f t="shared" si="22"/>
        <v>129.70939554375002</v>
      </c>
      <c r="M62" s="41">
        <f t="shared" si="22"/>
        <v>144.68181702529503</v>
      </c>
      <c r="N62" s="42">
        <f t="shared" si="22"/>
        <v>125.02284998410852</v>
      </c>
    </row>
    <row r="63" spans="2:14" x14ac:dyDescent="0.25">
      <c r="B63" s="30" t="s">
        <v>37</v>
      </c>
      <c r="C63" s="31"/>
      <c r="D63" s="31"/>
      <c r="E63" s="31"/>
      <c r="F63" s="31"/>
      <c r="G63" s="31"/>
      <c r="H63" s="31"/>
      <c r="I63" s="32"/>
      <c r="J63" s="41">
        <f>J62/(1+wacc)^J40</f>
        <v>107.84075925145649</v>
      </c>
      <c r="K63" s="41">
        <f>K62/(1+wacc)^K40</f>
        <v>101.18193729691457</v>
      </c>
      <c r="L63" s="41">
        <f>L62/(1+wacc)^L40</f>
        <v>110.49491461125281</v>
      </c>
      <c r="M63" s="41">
        <f>M62/(1+wacc)^M40</f>
        <v>116.83557345345577</v>
      </c>
      <c r="N63" s="42">
        <f>N62/(1+wacc)^N40</f>
        <v>95.706364613274843</v>
      </c>
    </row>
    <row r="64" spans="2:14" x14ac:dyDescent="0.25">
      <c r="J64" s="43"/>
    </row>
    <row r="65" spans="1:15" x14ac:dyDescent="0.25">
      <c r="A65" t="s">
        <v>20</v>
      </c>
      <c r="B65" t="s">
        <v>38</v>
      </c>
      <c r="J65" s="43"/>
      <c r="N65" s="39">
        <f>(N62*(1+D8))/(D7-D8)</f>
        <v>3060.0396277465825</v>
      </c>
    </row>
    <row r="66" spans="1:15" x14ac:dyDescent="0.25">
      <c r="B66" s="3" t="s">
        <v>39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4">
        <f>N65/(1+D7)^N40</f>
        <v>2325.1036272568253</v>
      </c>
    </row>
    <row r="67" spans="1:15" x14ac:dyDescent="0.25">
      <c r="B67" s="9" t="s">
        <v>40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45">
        <f>SUM(J63:N63,N66)</f>
        <v>2857.16317648318</v>
      </c>
    </row>
    <row r="68" spans="1:15" x14ac:dyDescent="0.25">
      <c r="B68" s="46" t="s">
        <v>41</v>
      </c>
      <c r="N68" s="112" t="s">
        <v>89</v>
      </c>
    </row>
    <row r="69" spans="1:15" x14ac:dyDescent="0.25">
      <c r="B69" s="47" t="s">
        <v>42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13" t="s">
        <v>89</v>
      </c>
    </row>
    <row r="70" spans="1:15" x14ac:dyDescent="0.25">
      <c r="B70" s="9" t="s">
        <v>43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45" t="e">
        <f>N67+N68-N69</f>
        <v>#VALUE!</v>
      </c>
    </row>
    <row r="71" spans="1:15" x14ac:dyDescent="0.25">
      <c r="B71" s="3" t="s">
        <v>44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14" t="s">
        <v>89</v>
      </c>
    </row>
    <row r="72" spans="1:15" x14ac:dyDescent="0.25">
      <c r="A72" t="s">
        <v>20</v>
      </c>
      <c r="B72" s="9" t="s">
        <v>45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48" t="e">
        <f>N70/N71</f>
        <v>#VALUE!</v>
      </c>
    </row>
    <row r="74" spans="1:15" x14ac:dyDescent="0.25">
      <c r="M74" s="140" t="s">
        <v>111</v>
      </c>
      <c r="N74" s="141">
        <f>N67/(I45+I53)</f>
        <v>6.6912486568692744</v>
      </c>
      <c r="O74" s="142" t="s">
        <v>20</v>
      </c>
    </row>
    <row r="75" spans="1:15" x14ac:dyDescent="0.25">
      <c r="M75" s="143" t="s">
        <v>112</v>
      </c>
      <c r="N75" s="144">
        <f>N67/I22</f>
        <v>0.69635953606706802</v>
      </c>
      <c r="O75" s="145" t="s">
        <v>20</v>
      </c>
    </row>
    <row r="76" spans="1:15" x14ac:dyDescent="0.25">
      <c r="M76" s="146" t="s">
        <v>113</v>
      </c>
      <c r="N76" s="147">
        <f>N67/I25</f>
        <v>16.32664672276103</v>
      </c>
      <c r="O76" s="148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68C8-FAE3-487D-8EEF-2334E8E8211C}">
  <dimension ref="A2:H17"/>
  <sheetViews>
    <sheetView showGridLines="0" workbookViewId="0"/>
  </sheetViews>
  <sheetFormatPr defaultRowHeight="15.75" x14ac:dyDescent="0.25"/>
  <cols>
    <col min="1" max="1" width="5.125" customWidth="1"/>
    <col min="5" max="5" width="12.875" customWidth="1"/>
  </cols>
  <sheetData>
    <row r="2" spans="1:8" s="3" customFormat="1" ht="21" x14ac:dyDescent="0.35">
      <c r="B2" s="122" t="s">
        <v>94</v>
      </c>
    </row>
    <row r="5" spans="1:8" x14ac:dyDescent="0.25">
      <c r="A5" t="s">
        <v>20</v>
      </c>
      <c r="B5" s="52" t="s">
        <v>21</v>
      </c>
      <c r="C5" s="8"/>
      <c r="D5" s="8"/>
      <c r="E5" s="8"/>
      <c r="F5" s="8"/>
      <c r="G5" s="121"/>
      <c r="H5" s="121"/>
    </row>
    <row r="6" spans="1:8" x14ac:dyDescent="0.25">
      <c r="B6" s="150" t="s">
        <v>95</v>
      </c>
      <c r="C6" s="151"/>
      <c r="D6" s="151"/>
      <c r="E6" s="157">
        <v>189.1</v>
      </c>
    </row>
    <row r="7" spans="1:8" x14ac:dyDescent="0.25">
      <c r="B7" s="150" t="s">
        <v>96</v>
      </c>
      <c r="C7" s="151"/>
      <c r="D7" s="151"/>
      <c r="E7" s="158">
        <v>1100</v>
      </c>
    </row>
    <row r="8" spans="1:8" x14ac:dyDescent="0.25">
      <c r="B8" s="150" t="s">
        <v>97</v>
      </c>
      <c r="C8" s="151"/>
      <c r="D8" s="151"/>
      <c r="E8" s="159">
        <f>E7*E6</f>
        <v>208010</v>
      </c>
    </row>
    <row r="9" spans="1:8" x14ac:dyDescent="0.25">
      <c r="B9" s="150" t="s">
        <v>98</v>
      </c>
      <c r="C9" s="151"/>
      <c r="D9" s="151"/>
      <c r="E9" s="89">
        <v>0.52800000000000002</v>
      </c>
    </row>
    <row r="10" spans="1:8" x14ac:dyDescent="0.25">
      <c r="B10" s="150" t="s">
        <v>99</v>
      </c>
      <c r="C10" s="151"/>
      <c r="D10" s="151"/>
      <c r="E10" s="160">
        <f>E9*E8</f>
        <v>109829.28</v>
      </c>
    </row>
    <row r="11" spans="1:8" x14ac:dyDescent="0.25">
      <c r="B11" s="150" t="s">
        <v>100</v>
      </c>
      <c r="C11" s="151"/>
      <c r="D11" s="151"/>
      <c r="E11" s="157">
        <v>1.1567000000000001</v>
      </c>
    </row>
    <row r="12" spans="1:8" x14ac:dyDescent="0.25">
      <c r="B12" s="150" t="s">
        <v>102</v>
      </c>
      <c r="C12" s="151"/>
      <c r="D12" s="151"/>
      <c r="E12" s="161">
        <f>E10/E11</f>
        <v>94950.531684965841</v>
      </c>
    </row>
    <row r="14" spans="1:8" ht="16.5" thickBot="1" x14ac:dyDescent="0.3">
      <c r="B14" s="127" t="s">
        <v>101</v>
      </c>
      <c r="C14" s="128"/>
      <c r="D14" s="129"/>
      <c r="E14" s="130">
        <f>E12</f>
        <v>94950.531684965841</v>
      </c>
    </row>
    <row r="15" spans="1:8" ht="16.5" thickTop="1" x14ac:dyDescent="0.25">
      <c r="B15" s="123"/>
      <c r="C15" s="124"/>
      <c r="D15" s="124"/>
      <c r="E15" s="124"/>
      <c r="F15" s="124"/>
      <c r="G15" s="124"/>
      <c r="H15" s="124"/>
    </row>
    <row r="16" spans="1:8" x14ac:dyDescent="0.25">
      <c r="E16" s="244"/>
    </row>
    <row r="17" spans="5:5" x14ac:dyDescent="0.25">
      <c r="E17" s="15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5ABA-F790-441C-B197-080824A7FC72}">
  <dimension ref="A2:N50"/>
  <sheetViews>
    <sheetView showGridLines="0" workbookViewId="0"/>
  </sheetViews>
  <sheetFormatPr defaultRowHeight="15.75" x14ac:dyDescent="0.25"/>
  <cols>
    <col min="1" max="1" width="4.75" customWidth="1"/>
    <col min="2" max="2" width="40" customWidth="1"/>
    <col min="3" max="3" width="19.25" customWidth="1"/>
    <col min="4" max="5" width="16.625" customWidth="1"/>
    <col min="6" max="6" width="11.375" customWidth="1"/>
    <col min="7" max="8" width="16.625" customWidth="1"/>
    <col min="9" max="9" width="17.375" customWidth="1"/>
    <col min="10" max="10" width="10.5" customWidth="1"/>
    <col min="11" max="11" width="10" customWidth="1"/>
  </cols>
  <sheetData>
    <row r="2" spans="1:14" s="3" customFormat="1" ht="21" x14ac:dyDescent="0.35">
      <c r="B2" s="122" t="s">
        <v>114</v>
      </c>
    </row>
    <row r="4" spans="1:14" x14ac:dyDescent="0.25">
      <c r="B4" s="126" t="s">
        <v>115</v>
      </c>
    </row>
    <row r="5" spans="1:14" x14ac:dyDescent="0.25">
      <c r="A5" t="s">
        <v>20</v>
      </c>
      <c r="B5" s="164" t="s">
        <v>117</v>
      </c>
      <c r="C5" s="165" t="s">
        <v>123</v>
      </c>
      <c r="D5" s="165" t="s">
        <v>125</v>
      </c>
      <c r="E5" s="165" t="s">
        <v>126</v>
      </c>
      <c r="F5" s="165" t="s">
        <v>116</v>
      </c>
      <c r="G5" s="165" t="s">
        <v>127</v>
      </c>
      <c r="H5" s="165" t="s">
        <v>128</v>
      </c>
      <c r="I5" s="182" t="s">
        <v>129</v>
      </c>
      <c r="J5" s="168"/>
      <c r="K5" s="172"/>
      <c r="L5" s="121"/>
      <c r="M5" s="121"/>
      <c r="N5" s="121"/>
    </row>
    <row r="6" spans="1:14" x14ac:dyDescent="0.25">
      <c r="B6" s="218" t="s">
        <v>186</v>
      </c>
      <c r="C6" s="219" t="s">
        <v>146</v>
      </c>
      <c r="D6" s="220">
        <v>27.85</v>
      </c>
      <c r="E6" s="221">
        <f>'11_SOTP'!F14</f>
        <v>4960</v>
      </c>
      <c r="F6" s="222" t="s">
        <v>68</v>
      </c>
      <c r="G6" s="221">
        <v>38500</v>
      </c>
      <c r="H6" s="223">
        <v>0</v>
      </c>
      <c r="I6" s="233">
        <f>'11_SOTP'!F7+'11_SOTP'!F8+'11_SOTP'!F9</f>
        <v>147549.38728781868</v>
      </c>
      <c r="K6" s="173" t="s">
        <v>134</v>
      </c>
      <c r="L6" s="234">
        <v>1</v>
      </c>
    </row>
    <row r="7" spans="1:14" x14ac:dyDescent="0.25">
      <c r="B7" s="166" t="s">
        <v>130</v>
      </c>
      <c r="C7" s="179" t="s">
        <v>119</v>
      </c>
      <c r="D7" s="186">
        <v>17.84</v>
      </c>
      <c r="E7" s="167">
        <v>2660</v>
      </c>
      <c r="F7" s="170">
        <f>D7*E7*$L$6</f>
        <v>47454.400000000001</v>
      </c>
      <c r="G7" s="171">
        <v>22526</v>
      </c>
      <c r="H7" s="171">
        <v>268</v>
      </c>
      <c r="I7" s="183">
        <f t="shared" ref="I7:I11" si="0">F7+G7+H7</f>
        <v>70248.399999999994</v>
      </c>
      <c r="J7" s="163"/>
      <c r="K7" s="174" t="s">
        <v>135</v>
      </c>
      <c r="L7" s="235">
        <v>1.1585000000000001</v>
      </c>
    </row>
    <row r="8" spans="1:14" x14ac:dyDescent="0.25">
      <c r="B8" s="166" t="s">
        <v>118</v>
      </c>
      <c r="C8" s="179" t="s">
        <v>120</v>
      </c>
      <c r="D8" s="187">
        <v>1.1515</v>
      </c>
      <c r="E8" s="167">
        <v>23027</v>
      </c>
      <c r="F8" s="170">
        <f>D8*E8*$L$7</f>
        <v>30718.311594250001</v>
      </c>
      <c r="G8" s="171">
        <v>25400</v>
      </c>
      <c r="H8" s="171">
        <v>1100</v>
      </c>
      <c r="I8" s="183">
        <f t="shared" si="0"/>
        <v>57218.311594250001</v>
      </c>
      <c r="J8" s="162"/>
      <c r="K8" s="175" t="s">
        <v>136</v>
      </c>
      <c r="L8" s="235">
        <v>1.0845</v>
      </c>
    </row>
    <row r="9" spans="1:14" x14ac:dyDescent="0.25">
      <c r="B9" s="166" t="s">
        <v>131</v>
      </c>
      <c r="C9" s="179" t="s">
        <v>121</v>
      </c>
      <c r="D9" s="186">
        <v>3.94</v>
      </c>
      <c r="E9" s="167">
        <v>5750</v>
      </c>
      <c r="F9" s="170">
        <f>D9*E9*$L$6</f>
        <v>22655</v>
      </c>
      <c r="G9" s="171">
        <v>26824</v>
      </c>
      <c r="H9" s="171">
        <v>163</v>
      </c>
      <c r="I9" s="183">
        <f t="shared" si="0"/>
        <v>49642</v>
      </c>
      <c r="K9" s="176" t="s">
        <v>137</v>
      </c>
      <c r="L9" s="236">
        <v>0.86450000000000005</v>
      </c>
    </row>
    <row r="10" spans="1:14" x14ac:dyDescent="0.25">
      <c r="B10" s="166" t="s">
        <v>132</v>
      </c>
      <c r="C10" s="179" t="s">
        <v>124</v>
      </c>
      <c r="D10" s="186">
        <v>4.46</v>
      </c>
      <c r="E10" s="167">
        <v>3783</v>
      </c>
      <c r="F10" s="170">
        <f>D10*E10*$L$6</f>
        <v>16872.18</v>
      </c>
      <c r="G10" s="171">
        <v>6774</v>
      </c>
      <c r="H10" s="171">
        <v>0</v>
      </c>
      <c r="I10" s="183">
        <f t="shared" si="0"/>
        <v>23646.18</v>
      </c>
    </row>
    <row r="11" spans="1:14" x14ac:dyDescent="0.25">
      <c r="B11" s="166" t="s">
        <v>133</v>
      </c>
      <c r="C11" s="179" t="s">
        <v>122</v>
      </c>
      <c r="D11" s="188">
        <v>656.5</v>
      </c>
      <c r="E11" s="167">
        <v>51.8</v>
      </c>
      <c r="F11" s="170">
        <f>D11*E11*$L$8</f>
        <v>36880.266149999996</v>
      </c>
      <c r="G11" s="171">
        <f>15920*$L$8</f>
        <v>17265.240000000002</v>
      </c>
      <c r="H11" s="171">
        <v>0</v>
      </c>
      <c r="I11" s="183">
        <f t="shared" si="0"/>
        <v>54145.506150000001</v>
      </c>
    </row>
    <row r="13" spans="1:14" x14ac:dyDescent="0.25">
      <c r="B13" s="177" t="s">
        <v>138</v>
      </c>
      <c r="D13" s="169"/>
    </row>
    <row r="14" spans="1:14" x14ac:dyDescent="0.25">
      <c r="A14" t="s">
        <v>20</v>
      </c>
      <c r="B14" s="53" t="s">
        <v>117</v>
      </c>
      <c r="C14" s="180" t="s">
        <v>143</v>
      </c>
      <c r="D14" s="181" t="s">
        <v>144</v>
      </c>
      <c r="E14" s="180" t="s">
        <v>145</v>
      </c>
      <c r="F14" s="180" t="s">
        <v>139</v>
      </c>
      <c r="G14" s="180" t="s">
        <v>92</v>
      </c>
      <c r="H14" s="180" t="s">
        <v>140</v>
      </c>
    </row>
    <row r="15" spans="1:14" x14ac:dyDescent="0.25">
      <c r="B15" s="218" t="s">
        <v>186</v>
      </c>
      <c r="C15" s="225">
        <f>'04_Segment Financials'!J6</f>
        <v>42365</v>
      </c>
      <c r="D15" s="226">
        <f>'04_Segment Financials'!J7</f>
        <v>15798</v>
      </c>
      <c r="E15" s="226">
        <f>'04_Segment Financials'!J8</f>
        <v>8519</v>
      </c>
      <c r="F15" s="212">
        <f t="shared" ref="F15:F20" si="1">I6/C15</f>
        <v>3.48281334327437</v>
      </c>
      <c r="G15" s="212">
        <f t="shared" ref="G15:G20" si="2">I6/D15</f>
        <v>9.3397510626546829</v>
      </c>
      <c r="H15" s="212">
        <f t="shared" ref="H15:H20" si="3">I6/E15</f>
        <v>17.320036070879056</v>
      </c>
    </row>
    <row r="16" spans="1:14" x14ac:dyDescent="0.25">
      <c r="B16" s="166" t="s">
        <v>130</v>
      </c>
      <c r="C16" s="184">
        <v>44680</v>
      </c>
      <c r="D16" s="184">
        <v>14360</v>
      </c>
      <c r="E16" s="184">
        <v>6141</v>
      </c>
      <c r="F16" s="213">
        <f t="shared" si="1"/>
        <v>1.572256042972247</v>
      </c>
      <c r="G16" s="213">
        <f t="shared" si="2"/>
        <v>4.8919498607242335</v>
      </c>
      <c r="H16" s="213">
        <f t="shared" si="3"/>
        <v>11.439244422732454</v>
      </c>
    </row>
    <row r="17" spans="1:8" x14ac:dyDescent="0.25">
      <c r="B17" s="166" t="s">
        <v>118</v>
      </c>
      <c r="C17" s="184">
        <v>44451</v>
      </c>
      <c r="D17" s="184">
        <v>12998</v>
      </c>
      <c r="E17" s="184">
        <v>5108</v>
      </c>
      <c r="F17" s="213">
        <f t="shared" si="1"/>
        <v>1.2872221456041484</v>
      </c>
      <c r="G17" s="213">
        <f t="shared" si="2"/>
        <v>4.402085828146638</v>
      </c>
      <c r="H17" s="213">
        <f t="shared" si="3"/>
        <v>11.201705480471809</v>
      </c>
    </row>
    <row r="18" spans="1:8" x14ac:dyDescent="0.25">
      <c r="B18" s="166" t="s">
        <v>131</v>
      </c>
      <c r="C18" s="184">
        <v>33542</v>
      </c>
      <c r="D18" s="184">
        <v>11851</v>
      </c>
      <c r="E18" s="184">
        <v>4773</v>
      </c>
      <c r="F18" s="213">
        <f t="shared" si="1"/>
        <v>1.4799952298610697</v>
      </c>
      <c r="G18" s="213">
        <f t="shared" si="2"/>
        <v>4.1888448232216691</v>
      </c>
      <c r="H18" s="213">
        <f t="shared" si="3"/>
        <v>10.400586633144773</v>
      </c>
    </row>
    <row r="19" spans="1:8" x14ac:dyDescent="0.25">
      <c r="B19" s="166" t="s">
        <v>132</v>
      </c>
      <c r="C19" s="184">
        <v>5913</v>
      </c>
      <c r="D19" s="184">
        <v>2805</v>
      </c>
      <c r="E19" s="184">
        <v>1491</v>
      </c>
      <c r="F19" s="213">
        <f t="shared" si="1"/>
        <v>3.9990157280568241</v>
      </c>
      <c r="G19" s="213">
        <f t="shared" si="2"/>
        <v>8.4300106951871658</v>
      </c>
      <c r="H19" s="213">
        <f t="shared" si="3"/>
        <v>15.859275653923541</v>
      </c>
    </row>
    <row r="20" spans="1:8" x14ac:dyDescent="0.25">
      <c r="B20" s="178" t="s">
        <v>133</v>
      </c>
      <c r="C20" s="185">
        <v>14720</v>
      </c>
      <c r="D20" s="185">
        <v>6674</v>
      </c>
      <c r="E20" s="185">
        <v>2094</v>
      </c>
      <c r="F20" s="214">
        <f t="shared" si="1"/>
        <v>3.6783631895380435</v>
      </c>
      <c r="G20" s="214">
        <f t="shared" si="2"/>
        <v>8.1129017305963433</v>
      </c>
      <c r="H20" s="214">
        <f t="shared" si="3"/>
        <v>25.857452793696275</v>
      </c>
    </row>
    <row r="21" spans="1:8" x14ac:dyDescent="0.25">
      <c r="B21" s="63" t="s">
        <v>141</v>
      </c>
      <c r="C21" s="189" t="s">
        <v>68</v>
      </c>
      <c r="D21" s="190" t="s">
        <v>68</v>
      </c>
      <c r="E21" s="190" t="s">
        <v>68</v>
      </c>
      <c r="F21" s="213">
        <f>AVERAGE(F16:F20)</f>
        <v>2.4033704672064666</v>
      </c>
      <c r="G21" s="213">
        <f t="shared" ref="G21:H21" si="4">AVERAGE(G16:G20)</f>
        <v>6.0051585875752096</v>
      </c>
      <c r="H21" s="213">
        <f t="shared" si="4"/>
        <v>14.951652996793769</v>
      </c>
    </row>
    <row r="22" spans="1:8" ht="16.5" thickBot="1" x14ac:dyDescent="0.3">
      <c r="B22" s="215" t="s">
        <v>142</v>
      </c>
      <c r="C22" s="216" t="s">
        <v>68</v>
      </c>
      <c r="D22" s="216" t="s">
        <v>68</v>
      </c>
      <c r="E22" s="216" t="s">
        <v>68</v>
      </c>
      <c r="F22" s="217">
        <f>MEDIAN(F16:F20)</f>
        <v>1.572256042972247</v>
      </c>
      <c r="G22" s="217">
        <f t="shared" ref="G22:H22" si="5">MEDIAN(G16:G20)</f>
        <v>4.8919498607242335</v>
      </c>
      <c r="H22" s="217">
        <f t="shared" si="5"/>
        <v>11.439244422732454</v>
      </c>
    </row>
    <row r="23" spans="1:8" ht="16.5" thickTop="1" x14ac:dyDescent="0.25">
      <c r="B23" s="126"/>
    </row>
    <row r="24" spans="1:8" x14ac:dyDescent="0.25">
      <c r="A24" t="s">
        <v>20</v>
      </c>
      <c r="B24" s="53" t="s">
        <v>165</v>
      </c>
      <c r="C24" s="180" t="s">
        <v>166</v>
      </c>
    </row>
    <row r="25" spans="1:8" x14ac:dyDescent="0.25">
      <c r="B25" s="63" t="s">
        <v>162</v>
      </c>
      <c r="C25" s="203">
        <f>F22*C15</f>
        <v>66608.62726051925</v>
      </c>
    </row>
    <row r="26" spans="1:8" x14ac:dyDescent="0.25">
      <c r="B26" s="63" t="s">
        <v>163</v>
      </c>
      <c r="C26" s="203">
        <f>G22*D15</f>
        <v>77283.023899721447</v>
      </c>
    </row>
    <row r="27" spans="1:8" x14ac:dyDescent="0.25">
      <c r="B27" s="63" t="s">
        <v>164</v>
      </c>
      <c r="C27" s="204">
        <f>H22*E15</f>
        <v>97450.923237257768</v>
      </c>
    </row>
    <row r="28" spans="1:8" x14ac:dyDescent="0.25">
      <c r="B28" s="56"/>
      <c r="C28" s="200"/>
    </row>
    <row r="29" spans="1:8" x14ac:dyDescent="0.25">
      <c r="B29" s="198" t="s">
        <v>203</v>
      </c>
      <c r="C29" s="254"/>
    </row>
    <row r="30" spans="1:8" x14ac:dyDescent="0.25">
      <c r="B30" s="196" t="s">
        <v>201</v>
      </c>
      <c r="C30" s="201">
        <f>C26</f>
        <v>77283.023899721447</v>
      </c>
      <c r="E30" s="140" t="s">
        <v>205</v>
      </c>
      <c r="F30" s="255">
        <f>C42</f>
        <v>24.810314303525221</v>
      </c>
    </row>
    <row r="31" spans="1:8" x14ac:dyDescent="0.25">
      <c r="B31" s="94" t="str">
        <f>_xlfn.CONCAT("(-) Adjusted Net Debt")</f>
        <v>(-) Adjusted Net Debt</v>
      </c>
      <c r="C31" s="135">
        <f>G6</f>
        <v>38500</v>
      </c>
      <c r="E31" s="143" t="s">
        <v>199</v>
      </c>
      <c r="F31" s="256">
        <f>C34</f>
        <v>26.962410400138562</v>
      </c>
    </row>
    <row r="32" spans="1:8" x14ac:dyDescent="0.25">
      <c r="B32" s="63" t="str">
        <f>_xlfn.CONCAT("(=) Equity Value")</f>
        <v>(=) Equity Value</v>
      </c>
      <c r="C32" s="227">
        <f>C30-C31+'08_TMUS Stake'!E14</f>
        <v>133733.55558468727</v>
      </c>
      <c r="E32" s="146" t="s">
        <v>200</v>
      </c>
      <c r="F32" s="257">
        <f>C50</f>
        <v>31.028519137545082</v>
      </c>
    </row>
    <row r="33" spans="2:3" x14ac:dyDescent="0.25">
      <c r="B33" s="94" t="str">
        <f>_xlfn.CONCAT("(÷) Shares Outstanding")</f>
        <v>(÷) Shares Outstanding</v>
      </c>
      <c r="C33" s="237">
        <f>'11_SOTP'!F14</f>
        <v>4960</v>
      </c>
    </row>
    <row r="34" spans="2:3" ht="16.5" thickBot="1" x14ac:dyDescent="0.3">
      <c r="B34" s="197" t="str">
        <f>_xlfn.CONCAT("(=) Implied Share Price")</f>
        <v>(=) Implied Share Price</v>
      </c>
      <c r="C34" s="202">
        <f>C32/C33</f>
        <v>26.962410400138562</v>
      </c>
    </row>
    <row r="35" spans="2:3" x14ac:dyDescent="0.25">
      <c r="B35" s="63"/>
      <c r="C35" s="247"/>
    </row>
    <row r="37" spans="2:3" x14ac:dyDescent="0.25">
      <c r="B37" s="198" t="s">
        <v>197</v>
      </c>
      <c r="C37" s="199"/>
    </row>
    <row r="38" spans="2:3" x14ac:dyDescent="0.25">
      <c r="B38" s="196" t="s">
        <v>202</v>
      </c>
      <c r="C38" s="201">
        <f>C25</f>
        <v>66608.62726051925</v>
      </c>
    </row>
    <row r="39" spans="2:3" x14ac:dyDescent="0.25">
      <c r="B39" s="94" t="str">
        <f>_xlfn.CONCAT("(-) Adjusted Net Debt")</f>
        <v>(-) Adjusted Net Debt</v>
      </c>
      <c r="C39" s="135">
        <f>G6</f>
        <v>38500</v>
      </c>
    </row>
    <row r="40" spans="2:3" x14ac:dyDescent="0.25">
      <c r="B40" s="63" t="str">
        <f>_xlfn.CONCAT("(=) Equity Value")</f>
        <v>(=) Equity Value</v>
      </c>
      <c r="C40" s="227">
        <f>C38-C39+'08_TMUS Stake'!E14</f>
        <v>123059.15894548509</v>
      </c>
    </row>
    <row r="41" spans="2:3" x14ac:dyDescent="0.25">
      <c r="B41" s="94" t="str">
        <f>_xlfn.CONCAT("(÷) Shares Outstanding")</f>
        <v>(÷) Shares Outstanding</v>
      </c>
      <c r="C41" s="237">
        <f>C33</f>
        <v>4960</v>
      </c>
    </row>
    <row r="42" spans="2:3" ht="16.5" thickBot="1" x14ac:dyDescent="0.3">
      <c r="B42" s="197" t="str">
        <f>_xlfn.CONCAT("(=) Implied Share Price")</f>
        <v>(=) Implied Share Price</v>
      </c>
      <c r="C42" s="202">
        <f>C40/C41</f>
        <v>24.810314303525221</v>
      </c>
    </row>
    <row r="43" spans="2:3" x14ac:dyDescent="0.25">
      <c r="B43" s="63"/>
      <c r="C43" s="247"/>
    </row>
    <row r="45" spans="2:3" x14ac:dyDescent="0.25">
      <c r="B45" s="198" t="s">
        <v>196</v>
      </c>
      <c r="C45" s="199"/>
    </row>
    <row r="46" spans="2:3" x14ac:dyDescent="0.25">
      <c r="B46" s="196" t="s">
        <v>204</v>
      </c>
      <c r="C46" s="201">
        <f>C27</f>
        <v>97450.923237257768</v>
      </c>
    </row>
    <row r="47" spans="2:3" x14ac:dyDescent="0.25">
      <c r="B47" s="94" t="str">
        <f>_xlfn.CONCAT("(-) Adjusted Net Debt")</f>
        <v>(-) Adjusted Net Debt</v>
      </c>
      <c r="C47" s="135">
        <f>G6</f>
        <v>38500</v>
      </c>
    </row>
    <row r="48" spans="2:3" x14ac:dyDescent="0.25">
      <c r="B48" s="63" t="str">
        <f>_xlfn.CONCAT("(=) Equity Value")</f>
        <v>(=) Equity Value</v>
      </c>
      <c r="C48" s="227">
        <f>C46-C47+'08_TMUS Stake'!E14</f>
        <v>153901.45492222361</v>
      </c>
    </row>
    <row r="49" spans="2:3" x14ac:dyDescent="0.25">
      <c r="B49" s="94" t="str">
        <f>_xlfn.CONCAT("(÷) Shares Outstanding")</f>
        <v>(÷) Shares Outstanding</v>
      </c>
      <c r="C49" s="237">
        <f>C33</f>
        <v>4960</v>
      </c>
    </row>
    <row r="50" spans="2:3" ht="16.5" thickBot="1" x14ac:dyDescent="0.3">
      <c r="B50" s="197" t="str">
        <f>_xlfn.CONCAT("(=) Implied Share Price")</f>
        <v>(=) Implied Share Price</v>
      </c>
      <c r="C50" s="202">
        <f>C48/C49</f>
        <v>31.028519137545082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428B-5EC0-4B78-823E-1AE03BE1A52B}">
  <dimension ref="A2:I55"/>
  <sheetViews>
    <sheetView showGridLines="0" zoomScale="80" zoomScaleNormal="80" workbookViewId="0"/>
  </sheetViews>
  <sheetFormatPr defaultRowHeight="15.75" x14ac:dyDescent="0.25"/>
  <cols>
    <col min="1" max="1" width="3.625" customWidth="1"/>
    <col min="2" max="2" width="30.25" customWidth="1"/>
    <col min="3" max="3" width="20.625" customWidth="1"/>
    <col min="4" max="4" width="21.75" customWidth="1"/>
    <col min="5" max="5" width="23.875" customWidth="1"/>
    <col min="6" max="6" width="24.625" customWidth="1"/>
    <col min="7" max="7" width="28.125" customWidth="1"/>
    <col min="8" max="9" width="30.625" customWidth="1"/>
  </cols>
  <sheetData>
    <row r="2" spans="1:8" s="3" customFormat="1" ht="21" x14ac:dyDescent="0.35">
      <c r="B2" s="122" t="s">
        <v>4</v>
      </c>
    </row>
    <row r="4" spans="1:8" x14ac:dyDescent="0.25">
      <c r="A4" t="s">
        <v>20</v>
      </c>
      <c r="B4" s="52" t="s">
        <v>147</v>
      </c>
      <c r="C4" s="192" t="s">
        <v>153</v>
      </c>
      <c r="D4" s="192" t="s">
        <v>154</v>
      </c>
      <c r="E4" s="192" t="s">
        <v>155</v>
      </c>
      <c r="F4" s="192" t="s">
        <v>156</v>
      </c>
      <c r="G4" s="205" t="s">
        <v>181</v>
      </c>
      <c r="H4" s="192" t="s">
        <v>157</v>
      </c>
    </row>
    <row r="5" spans="1:8" x14ac:dyDescent="0.25">
      <c r="B5" s="63" t="s">
        <v>148</v>
      </c>
      <c r="C5" s="193">
        <f>DATE(2024,3,1)</f>
        <v>45352</v>
      </c>
      <c r="D5" s="194" t="s">
        <v>167</v>
      </c>
      <c r="E5" s="194" t="s">
        <v>172</v>
      </c>
      <c r="F5" s="194" t="s">
        <v>177</v>
      </c>
      <c r="G5" s="206" t="s">
        <v>182</v>
      </c>
      <c r="H5" s="232">
        <v>18600</v>
      </c>
    </row>
    <row r="6" spans="1:8" x14ac:dyDescent="0.25">
      <c r="B6" s="63" t="s">
        <v>149</v>
      </c>
      <c r="C6" s="193">
        <f>DATE(2023,6,1)</f>
        <v>45078</v>
      </c>
      <c r="D6" s="194" t="s">
        <v>168</v>
      </c>
      <c r="E6" s="194" t="s">
        <v>173</v>
      </c>
      <c r="F6" s="194" t="s">
        <v>178</v>
      </c>
      <c r="G6" s="206" t="s">
        <v>182</v>
      </c>
      <c r="H6" s="232">
        <v>17500</v>
      </c>
    </row>
    <row r="7" spans="1:8" x14ac:dyDescent="0.25">
      <c r="B7" s="63" t="s">
        <v>150</v>
      </c>
      <c r="C7" s="193">
        <f>DATE(2023,10,1)</f>
        <v>45200</v>
      </c>
      <c r="D7" s="194" t="s">
        <v>169</v>
      </c>
      <c r="E7" s="194" t="s">
        <v>174</v>
      </c>
      <c r="F7" s="194" t="s">
        <v>177</v>
      </c>
      <c r="G7" s="206" t="s">
        <v>183</v>
      </c>
      <c r="H7" s="232">
        <v>5000</v>
      </c>
    </row>
    <row r="8" spans="1:8" x14ac:dyDescent="0.25">
      <c r="B8" s="63" t="s">
        <v>151</v>
      </c>
      <c r="C8" s="193">
        <v>45323</v>
      </c>
      <c r="D8" s="194" t="s">
        <v>170</v>
      </c>
      <c r="E8" s="194" t="s">
        <v>175</v>
      </c>
      <c r="F8" s="194" t="s">
        <v>179</v>
      </c>
      <c r="G8" s="206" t="s">
        <v>183</v>
      </c>
      <c r="H8" s="232">
        <v>963</v>
      </c>
    </row>
    <row r="9" spans="1:8" x14ac:dyDescent="0.25">
      <c r="B9" s="63" t="s">
        <v>152</v>
      </c>
      <c r="C9" s="193">
        <f>DATE(2021,5,1)</f>
        <v>44317</v>
      </c>
      <c r="D9" s="194" t="s">
        <v>171</v>
      </c>
      <c r="E9" s="194" t="s">
        <v>176</v>
      </c>
      <c r="F9" s="194" t="s">
        <v>178</v>
      </c>
      <c r="G9" s="206" t="s">
        <v>182</v>
      </c>
      <c r="H9" s="232">
        <v>36000</v>
      </c>
    </row>
    <row r="10" spans="1:8" x14ac:dyDescent="0.25">
      <c r="C10" s="191"/>
      <c r="D10" s="191"/>
      <c r="E10" s="191"/>
      <c r="F10" s="191"/>
      <c r="G10" s="191"/>
      <c r="H10" s="191"/>
    </row>
    <row r="11" spans="1:8" x14ac:dyDescent="0.25">
      <c r="C11" s="191"/>
      <c r="D11" s="191"/>
      <c r="E11" s="191"/>
      <c r="F11" s="191"/>
      <c r="G11" s="191"/>
      <c r="H11" s="191"/>
    </row>
    <row r="12" spans="1:8" x14ac:dyDescent="0.25">
      <c r="A12" t="s">
        <v>20</v>
      </c>
      <c r="B12" s="52" t="s">
        <v>180</v>
      </c>
      <c r="C12" s="192" t="s">
        <v>26</v>
      </c>
      <c r="D12" s="192" t="s">
        <v>61</v>
      </c>
      <c r="E12" s="192" t="s">
        <v>28</v>
      </c>
      <c r="F12" s="191"/>
      <c r="G12" s="191"/>
      <c r="H12" s="207"/>
    </row>
    <row r="13" spans="1:8" x14ac:dyDescent="0.25">
      <c r="B13" s="63" t="s">
        <v>167</v>
      </c>
      <c r="C13" s="232">
        <v>7400</v>
      </c>
      <c r="D13" s="232">
        <v>2360</v>
      </c>
      <c r="E13" s="232">
        <v>910</v>
      </c>
      <c r="F13" s="191"/>
      <c r="G13" s="191"/>
      <c r="H13" s="195"/>
    </row>
    <row r="14" spans="1:8" x14ac:dyDescent="0.25">
      <c r="B14" s="63" t="s">
        <v>168</v>
      </c>
      <c r="C14" s="232">
        <v>7850</v>
      </c>
      <c r="D14" s="232">
        <v>2010</v>
      </c>
      <c r="E14" s="232">
        <v>740</v>
      </c>
      <c r="F14" s="191"/>
      <c r="G14" s="191"/>
      <c r="H14" s="195"/>
    </row>
    <row r="15" spans="1:8" x14ac:dyDescent="0.25">
      <c r="B15" s="63" t="s">
        <v>169</v>
      </c>
      <c r="C15" s="232">
        <v>3900</v>
      </c>
      <c r="D15" s="232">
        <v>1310</v>
      </c>
      <c r="E15" s="232">
        <v>410</v>
      </c>
      <c r="F15" s="191"/>
      <c r="G15" s="191"/>
      <c r="H15" s="195"/>
    </row>
    <row r="16" spans="1:8" x14ac:dyDescent="0.25">
      <c r="B16" s="63" t="s">
        <v>170</v>
      </c>
      <c r="C16" s="232">
        <v>310</v>
      </c>
      <c r="D16" s="232">
        <v>85</v>
      </c>
      <c r="E16" s="232">
        <v>28</v>
      </c>
      <c r="F16" s="191"/>
      <c r="G16" s="191"/>
      <c r="H16" s="195"/>
    </row>
    <row r="17" spans="1:8" x14ac:dyDescent="0.25">
      <c r="B17" s="63" t="s">
        <v>171</v>
      </c>
      <c r="C17" s="232">
        <v>12500</v>
      </c>
      <c r="D17" s="232">
        <v>4350</v>
      </c>
      <c r="E17" s="232">
        <v>1680</v>
      </c>
      <c r="F17" s="191"/>
      <c r="G17" s="191"/>
      <c r="H17" s="195"/>
    </row>
    <row r="18" spans="1:8" x14ac:dyDescent="0.25">
      <c r="C18" s="191"/>
      <c r="D18" s="191"/>
      <c r="E18" s="191"/>
      <c r="F18" s="191"/>
      <c r="G18" s="191"/>
      <c r="H18" s="191"/>
    </row>
    <row r="19" spans="1:8" x14ac:dyDescent="0.25">
      <c r="A19" t="s">
        <v>20</v>
      </c>
      <c r="B19" s="52" t="s">
        <v>158</v>
      </c>
      <c r="C19" s="192" t="s">
        <v>139</v>
      </c>
      <c r="D19" s="192" t="s">
        <v>92</v>
      </c>
      <c r="E19" s="192" t="s">
        <v>140</v>
      </c>
      <c r="F19" s="191"/>
      <c r="G19" s="191"/>
      <c r="H19" s="191"/>
    </row>
    <row r="20" spans="1:8" x14ac:dyDescent="0.25">
      <c r="B20" s="63" t="s">
        <v>167</v>
      </c>
      <c r="C20" s="208">
        <f>H5/C13</f>
        <v>2.5135135135135136</v>
      </c>
      <c r="D20" s="208">
        <f>H5/D13</f>
        <v>7.8813559322033901</v>
      </c>
      <c r="E20" s="208">
        <f>H5/E13</f>
        <v>20.439560439560438</v>
      </c>
      <c r="F20" s="191"/>
      <c r="G20" s="191"/>
      <c r="H20" s="191"/>
    </row>
    <row r="21" spans="1:8" x14ac:dyDescent="0.25">
      <c r="B21" s="63" t="s">
        <v>168</v>
      </c>
      <c r="C21" s="208">
        <f t="shared" ref="C21:C24" si="0">H6/C14</f>
        <v>2.2292993630573248</v>
      </c>
      <c r="D21" s="208">
        <f t="shared" ref="D21:D24" si="1">H6/D14</f>
        <v>8.7064676616915424</v>
      </c>
      <c r="E21" s="208">
        <f t="shared" ref="E21:E24" si="2">H6/E14</f>
        <v>23.648648648648649</v>
      </c>
      <c r="F21" s="191"/>
      <c r="G21" s="191"/>
      <c r="H21" s="191"/>
    </row>
    <row r="22" spans="1:8" x14ac:dyDescent="0.25">
      <c r="B22" s="63" t="s">
        <v>169</v>
      </c>
      <c r="C22" s="208">
        <f t="shared" si="0"/>
        <v>1.2820512820512822</v>
      </c>
      <c r="D22" s="208">
        <f t="shared" si="1"/>
        <v>3.8167938931297711</v>
      </c>
      <c r="E22" s="208">
        <f t="shared" si="2"/>
        <v>12.195121951219512</v>
      </c>
      <c r="F22" s="191"/>
      <c r="G22" s="191"/>
      <c r="H22" s="191"/>
    </row>
    <row r="23" spans="1:8" x14ac:dyDescent="0.25">
      <c r="B23" s="63" t="s">
        <v>170</v>
      </c>
      <c r="C23" s="208">
        <f t="shared" si="0"/>
        <v>3.1064516129032258</v>
      </c>
      <c r="D23" s="208">
        <f t="shared" si="1"/>
        <v>11.329411764705883</v>
      </c>
      <c r="E23" s="208">
        <f t="shared" si="2"/>
        <v>34.392857142857146</v>
      </c>
      <c r="F23" s="191"/>
      <c r="G23" s="191"/>
      <c r="H23" s="191"/>
    </row>
    <row r="24" spans="1:8" x14ac:dyDescent="0.25">
      <c r="B24" s="63" t="s">
        <v>171</v>
      </c>
      <c r="C24" s="208">
        <f t="shared" si="0"/>
        <v>2.88</v>
      </c>
      <c r="D24" s="208">
        <f t="shared" si="1"/>
        <v>8.2758620689655178</v>
      </c>
      <c r="E24" s="208">
        <f t="shared" si="2"/>
        <v>21.428571428571427</v>
      </c>
      <c r="F24" s="191"/>
      <c r="G24" s="191"/>
      <c r="H24" s="191"/>
    </row>
    <row r="25" spans="1:8" x14ac:dyDescent="0.25">
      <c r="C25" s="191"/>
      <c r="D25" s="191"/>
      <c r="E25" s="191"/>
      <c r="F25" s="191"/>
      <c r="G25" s="191"/>
      <c r="H25" s="191"/>
    </row>
    <row r="26" spans="1:8" x14ac:dyDescent="0.25">
      <c r="A26" t="s">
        <v>20</v>
      </c>
      <c r="B26" s="52" t="s">
        <v>159</v>
      </c>
      <c r="C26" s="192" t="s">
        <v>139</v>
      </c>
      <c r="D26" s="192" t="s">
        <v>92</v>
      </c>
      <c r="E26" s="192" t="s">
        <v>140</v>
      </c>
      <c r="F26" s="191"/>
      <c r="G26" s="191"/>
      <c r="H26" s="191"/>
    </row>
    <row r="27" spans="1:8" x14ac:dyDescent="0.25">
      <c r="B27" s="63" t="s">
        <v>141</v>
      </c>
      <c r="C27" s="208">
        <f>AVERAGE(C20:C24)</f>
        <v>2.4022631543050692</v>
      </c>
      <c r="D27" s="208">
        <f t="shared" ref="D27:E27" si="3">AVERAGE(D20:D24)</f>
        <v>8.0019782641392201</v>
      </c>
      <c r="E27" s="208">
        <f t="shared" si="3"/>
        <v>22.420951922171433</v>
      </c>
      <c r="F27" s="191"/>
      <c r="G27" s="191"/>
      <c r="H27" s="191"/>
    </row>
    <row r="28" spans="1:8" x14ac:dyDescent="0.25">
      <c r="B28" s="210" t="s">
        <v>142</v>
      </c>
      <c r="C28" s="211">
        <f>MEDIAN(C20:C24)</f>
        <v>2.5135135135135136</v>
      </c>
      <c r="D28" s="211">
        <f t="shared" ref="D28:E28" si="4">MEDIAN(D20:D24)</f>
        <v>8.2758620689655178</v>
      </c>
      <c r="E28" s="211">
        <f t="shared" si="4"/>
        <v>21.428571428571427</v>
      </c>
      <c r="F28" s="191"/>
      <c r="G28" s="191"/>
      <c r="H28" s="191"/>
    </row>
    <row r="29" spans="1:8" x14ac:dyDescent="0.25">
      <c r="B29" s="63" t="s">
        <v>160</v>
      </c>
      <c r="C29" s="208">
        <f>MIN(C20:C24)</f>
        <v>1.2820512820512822</v>
      </c>
      <c r="D29" s="208">
        <f t="shared" ref="D29:E29" si="5">MIN(D20:D24)</f>
        <v>3.8167938931297711</v>
      </c>
      <c r="E29" s="208">
        <f t="shared" si="5"/>
        <v>12.195121951219512</v>
      </c>
      <c r="F29" s="191"/>
      <c r="G29" s="191"/>
      <c r="H29" s="191"/>
    </row>
    <row r="30" spans="1:8" x14ac:dyDescent="0.25">
      <c r="B30" s="63" t="s">
        <v>161</v>
      </c>
      <c r="C30" s="208">
        <f>MAX(C20:C24)</f>
        <v>3.1064516129032258</v>
      </c>
      <c r="D30" s="208">
        <f t="shared" ref="D30:E30" si="6">MAX(D20:D24)</f>
        <v>11.329411764705883</v>
      </c>
      <c r="E30" s="208">
        <f t="shared" si="6"/>
        <v>34.392857142857146</v>
      </c>
      <c r="F30" s="191"/>
      <c r="G30" s="191"/>
      <c r="H30" s="191"/>
    </row>
    <row r="31" spans="1:8" x14ac:dyDescent="0.25">
      <c r="C31" s="191"/>
      <c r="D31" s="191"/>
      <c r="E31" s="191"/>
      <c r="F31" s="191"/>
      <c r="G31" s="191"/>
      <c r="H31" s="191"/>
    </row>
    <row r="32" spans="1:8" x14ac:dyDescent="0.25">
      <c r="C32" s="191"/>
      <c r="D32" s="191"/>
      <c r="E32" s="191"/>
      <c r="F32" s="191"/>
      <c r="G32" s="191"/>
      <c r="H32" s="191"/>
    </row>
    <row r="33" spans="1:9" x14ac:dyDescent="0.25">
      <c r="A33" t="s">
        <v>20</v>
      </c>
      <c r="B33" s="52" t="s">
        <v>165</v>
      </c>
      <c r="C33" s="192" t="s">
        <v>166</v>
      </c>
      <c r="D33" s="209"/>
      <c r="E33" s="209"/>
      <c r="F33" s="191"/>
      <c r="G33" s="191"/>
      <c r="H33" s="191"/>
    </row>
    <row r="34" spans="1:9" x14ac:dyDescent="0.25">
      <c r="B34" s="63" t="s">
        <v>162</v>
      </c>
      <c r="C34" s="203">
        <f>'03_Historical Financials'!G6*'10_Precedent Transactions'!C28</f>
        <v>299311.70270270272</v>
      </c>
      <c r="D34" s="191"/>
      <c r="E34" s="191"/>
      <c r="F34" s="191"/>
      <c r="G34" s="191"/>
      <c r="H34" s="191"/>
    </row>
    <row r="35" spans="1:9" x14ac:dyDescent="0.25">
      <c r="B35" s="210" t="s">
        <v>163</v>
      </c>
      <c r="C35" s="245">
        <f>'03_Historical Financials'!G7*'10_Precedent Transactions'!D28</f>
        <v>366157.24137931038</v>
      </c>
      <c r="D35" s="191"/>
      <c r="E35" s="191"/>
      <c r="F35" s="191"/>
      <c r="G35" s="191"/>
      <c r="H35" s="191"/>
    </row>
    <row r="36" spans="1:9" x14ac:dyDescent="0.25">
      <c r="B36" s="63" t="s">
        <v>164</v>
      </c>
      <c r="C36" s="204">
        <f>'03_Historical Financials'!G10*'10_Precedent Transactions'!E28</f>
        <v>531900</v>
      </c>
      <c r="D36" s="191"/>
      <c r="E36" s="191"/>
      <c r="F36" s="191"/>
      <c r="G36" s="191"/>
      <c r="H36" s="191"/>
    </row>
    <row r="37" spans="1:9" x14ac:dyDescent="0.25">
      <c r="B37" s="56"/>
      <c r="C37" s="200"/>
    </row>
    <row r="38" spans="1:9" x14ac:dyDescent="0.25">
      <c r="B38" s="198" t="s">
        <v>196</v>
      </c>
      <c r="C38" s="254"/>
      <c r="E38" s="126"/>
    </row>
    <row r="39" spans="1:9" x14ac:dyDescent="0.25">
      <c r="B39" s="196" t="s">
        <v>194</v>
      </c>
      <c r="C39" s="201">
        <f>C35</f>
        <v>366157.24137931038</v>
      </c>
      <c r="E39" s="259" t="s">
        <v>205</v>
      </c>
      <c r="F39" s="260">
        <f>C53</f>
        <v>33.369294899738449</v>
      </c>
      <c r="H39" s="196"/>
      <c r="I39" s="201"/>
    </row>
    <row r="40" spans="1:9" x14ac:dyDescent="0.25">
      <c r="B40" s="94" t="str">
        <f>_xlfn.CONCAT("(-) Adjusted Net Debt")</f>
        <v>(-) Adjusted Net Debt</v>
      </c>
      <c r="C40" s="135">
        <v>133800</v>
      </c>
      <c r="E40" s="261" t="s">
        <v>199</v>
      </c>
      <c r="F40" s="262">
        <f>C43</f>
        <v>46.846218020022256</v>
      </c>
      <c r="H40" s="94"/>
      <c r="I40" s="135"/>
    </row>
    <row r="41" spans="1:9" x14ac:dyDescent="0.25">
      <c r="B41" s="63" t="str">
        <f>_xlfn.CONCAT("(=) Equity Value")</f>
        <v>(=) Equity Value</v>
      </c>
      <c r="C41" s="201">
        <f>C39-C40</f>
        <v>232357.24137931038</v>
      </c>
      <c r="E41" s="176" t="s">
        <v>200</v>
      </c>
      <c r="F41" s="263" t="s">
        <v>68</v>
      </c>
      <c r="H41" s="63"/>
      <c r="I41" s="201"/>
    </row>
    <row r="42" spans="1:9" x14ac:dyDescent="0.25">
      <c r="B42" s="94" t="str">
        <f>_xlfn.CONCAT("(÷) Shares Outstanding")</f>
        <v>(÷) Shares Outstanding</v>
      </c>
      <c r="C42" s="135">
        <f>'11_SOTP'!F14</f>
        <v>4960</v>
      </c>
      <c r="E42" s="94"/>
      <c r="F42" s="135"/>
      <c r="H42" s="94"/>
      <c r="I42" s="135"/>
    </row>
    <row r="43" spans="1:9" ht="16.5" thickBot="1" x14ac:dyDescent="0.3">
      <c r="B43" s="197" t="str">
        <f>_xlfn.CONCAT("(=) Implied Share Price")</f>
        <v>(=) Implied Share Price</v>
      </c>
      <c r="C43" s="202">
        <f>C41/C42</f>
        <v>46.846218020022256</v>
      </c>
      <c r="E43" s="63"/>
      <c r="F43" s="247"/>
      <c r="H43" s="63"/>
      <c r="I43" s="247"/>
    </row>
    <row r="45" spans="1:9" x14ac:dyDescent="0.25">
      <c r="B45" s="198" t="s">
        <v>184</v>
      </c>
      <c r="C45" s="199">
        <f>C43/'11_SOTP'!F16-1</f>
        <v>0.13900653759724779</v>
      </c>
      <c r="E45" s="64"/>
      <c r="F45" s="246"/>
      <c r="H45" s="64"/>
      <c r="I45" s="246"/>
    </row>
    <row r="48" spans="1:9" x14ac:dyDescent="0.25">
      <c r="B48" s="198" t="s">
        <v>197</v>
      </c>
      <c r="C48" s="3"/>
    </row>
    <row r="49" spans="2:3" x14ac:dyDescent="0.25">
      <c r="B49" s="196" t="s">
        <v>195</v>
      </c>
      <c r="C49" s="201">
        <f>C34</f>
        <v>299311.70270270272</v>
      </c>
    </row>
    <row r="50" spans="2:3" x14ac:dyDescent="0.25">
      <c r="B50" s="94" t="str">
        <f>_xlfn.CONCAT("(-) Adjusted Net Debt")</f>
        <v>(-) Adjusted Net Debt</v>
      </c>
      <c r="C50" s="135">
        <v>133800</v>
      </c>
    </row>
    <row r="51" spans="2:3" x14ac:dyDescent="0.25">
      <c r="B51" s="63" t="str">
        <f>_xlfn.CONCAT("(=) Equity Value")</f>
        <v>(=) Equity Value</v>
      </c>
      <c r="C51" s="201">
        <f>C49-C50</f>
        <v>165511.70270270272</v>
      </c>
    </row>
    <row r="52" spans="2:3" x14ac:dyDescent="0.25">
      <c r="B52" s="94" t="str">
        <f>_xlfn.CONCAT("(÷) Shares Outstanding")</f>
        <v>(÷) Shares Outstanding</v>
      </c>
      <c r="C52" s="135">
        <f>C42</f>
        <v>4960</v>
      </c>
    </row>
    <row r="53" spans="2:3" ht="16.5" thickBot="1" x14ac:dyDescent="0.3">
      <c r="B53" s="197" t="str">
        <f>_xlfn.CONCAT("(=) Implied Share Price")</f>
        <v>(=) Implied Share Price</v>
      </c>
      <c r="C53" s="202">
        <f>C51/C52</f>
        <v>33.369294899738449</v>
      </c>
    </row>
    <row r="55" spans="2:3" x14ac:dyDescent="0.25">
      <c r="B55" s="198" t="s">
        <v>184</v>
      </c>
      <c r="C55" s="199">
        <f>C53/'11_SOTP'!F16-1</f>
        <v>-0.18866780175151199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78E1-8580-45BC-85AC-7C180F4754B5}">
  <dimension ref="A2:I21"/>
  <sheetViews>
    <sheetView showGridLines="0" workbookViewId="0"/>
  </sheetViews>
  <sheetFormatPr defaultRowHeight="15.75" x14ac:dyDescent="0.25"/>
  <cols>
    <col min="1" max="1" width="3.625" customWidth="1"/>
    <col min="2" max="3" width="10.625" customWidth="1"/>
    <col min="6" max="6" width="10.125" bestFit="1" customWidth="1"/>
  </cols>
  <sheetData>
    <row r="2" spans="1:7" s="3" customFormat="1" ht="21" x14ac:dyDescent="0.35">
      <c r="B2" s="122" t="s">
        <v>107</v>
      </c>
    </row>
    <row r="5" spans="1:7" x14ac:dyDescent="0.25">
      <c r="A5" t="s">
        <v>20</v>
      </c>
      <c r="B5" s="52" t="s">
        <v>103</v>
      </c>
      <c r="C5" s="8"/>
      <c r="D5" s="8"/>
      <c r="E5" s="8"/>
      <c r="F5" s="8"/>
    </row>
    <row r="6" spans="1:7" x14ac:dyDescent="0.25">
      <c r="B6" s="63" t="s">
        <v>104</v>
      </c>
      <c r="F6" s="149" t="s">
        <v>106</v>
      </c>
    </row>
    <row r="7" spans="1:7" x14ac:dyDescent="0.25">
      <c r="B7" s="56" t="s">
        <v>60</v>
      </c>
      <c r="F7" s="132">
        <f>'05_Germany DCF'!N67</f>
        <v>97918.106788438192</v>
      </c>
    </row>
    <row r="8" spans="1:7" x14ac:dyDescent="0.25">
      <c r="B8" s="56" t="s">
        <v>62</v>
      </c>
      <c r="F8" s="132">
        <f>'06_Europe DCF'!N67</f>
        <v>46774.117322897313</v>
      </c>
    </row>
    <row r="9" spans="1:7" x14ac:dyDescent="0.25">
      <c r="B9" s="56" t="s">
        <v>63</v>
      </c>
      <c r="F9" s="132">
        <f>'07_TSystems DCF'!N67</f>
        <v>2857.16317648318</v>
      </c>
    </row>
    <row r="10" spans="1:7" x14ac:dyDescent="0.25">
      <c r="B10" s="56" t="s">
        <v>94</v>
      </c>
      <c r="F10" s="133">
        <f>'08_TMUS Stake'!E14</f>
        <v>94950.531684965841</v>
      </c>
    </row>
    <row r="11" spans="1:7" x14ac:dyDescent="0.25">
      <c r="B11" s="131" t="s">
        <v>105</v>
      </c>
      <c r="C11" s="3"/>
      <c r="D11" s="3"/>
      <c r="E11" s="3"/>
      <c r="F11" s="134">
        <f>SUM(F7:F10)</f>
        <v>242499.91897278454</v>
      </c>
    </row>
    <row r="12" spans="1:7" x14ac:dyDescent="0.25">
      <c r="B12" s="94" t="str">
        <f>_xlfn.CONCAT(" - Net Debt excl. TMUS")</f>
        <v xml:space="preserve"> - Net Debt excl. TMUS</v>
      </c>
      <c r="F12" s="57">
        <v>38500</v>
      </c>
      <c r="G12" s="224" t="s">
        <v>185</v>
      </c>
    </row>
    <row r="13" spans="1:7" x14ac:dyDescent="0.25">
      <c r="B13" s="131" t="s">
        <v>108</v>
      </c>
      <c r="C13" s="3"/>
      <c r="D13" s="3"/>
      <c r="E13" s="3"/>
      <c r="F13" s="136">
        <f>F11-F12</f>
        <v>203999.91897278454</v>
      </c>
    </row>
    <row r="14" spans="1:7" x14ac:dyDescent="0.25">
      <c r="B14" s="61" t="s">
        <v>109</v>
      </c>
      <c r="C14" s="61"/>
      <c r="D14" s="61"/>
      <c r="E14" s="61"/>
      <c r="F14" s="125">
        <v>4960</v>
      </c>
    </row>
    <row r="16" spans="1:7" ht="16.5" thickBot="1" x14ac:dyDescent="0.3">
      <c r="B16" s="137" t="s">
        <v>110</v>
      </c>
      <c r="C16" s="138"/>
      <c r="D16" s="138"/>
      <c r="E16" s="138"/>
      <c r="F16" s="139">
        <f>F13/F14</f>
        <v>41.129015921932364</v>
      </c>
    </row>
    <row r="17" spans="2:9" ht="16.5" thickTop="1" x14ac:dyDescent="0.25"/>
    <row r="18" spans="2:9" x14ac:dyDescent="0.25">
      <c r="I18" s="119"/>
    </row>
    <row r="19" spans="2:9" x14ac:dyDescent="0.25">
      <c r="B19" s="248" t="s">
        <v>198</v>
      </c>
      <c r="C19" s="249">
        <f>F16*0.9</f>
        <v>37.016114329739132</v>
      </c>
    </row>
    <row r="20" spans="2:9" x14ac:dyDescent="0.25">
      <c r="B20" s="250" t="s">
        <v>199</v>
      </c>
      <c r="C20" s="251">
        <f>F16</f>
        <v>41.129015921932364</v>
      </c>
    </row>
    <row r="21" spans="2:9" x14ac:dyDescent="0.25">
      <c r="B21" s="252" t="s">
        <v>200</v>
      </c>
      <c r="C21" s="253">
        <f>F16*1.1</f>
        <v>45.241917514125603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3A3E-0E97-4B54-B670-FCF1B8DADAEE}">
  <dimension ref="A2:I12"/>
  <sheetViews>
    <sheetView showGridLines="0" workbookViewId="0"/>
  </sheetViews>
  <sheetFormatPr defaultRowHeight="15.75" x14ac:dyDescent="0.25"/>
  <cols>
    <col min="1" max="1" width="3.625" customWidth="1"/>
    <col min="2" max="7" width="16.625" customWidth="1"/>
    <col min="8" max="8" width="9.125" customWidth="1"/>
    <col min="9" max="9" width="9.875" customWidth="1"/>
  </cols>
  <sheetData>
    <row r="2" spans="1:9" s="3" customFormat="1" ht="21" x14ac:dyDescent="0.35">
      <c r="B2" s="122" t="s">
        <v>208</v>
      </c>
    </row>
    <row r="5" spans="1:9" x14ac:dyDescent="0.25">
      <c r="A5" t="s">
        <v>20</v>
      </c>
      <c r="B5" s="53" t="s">
        <v>206</v>
      </c>
      <c r="C5" s="180" t="s">
        <v>197</v>
      </c>
      <c r="D5" s="180" t="s">
        <v>203</v>
      </c>
      <c r="E5" s="180" t="s">
        <v>196</v>
      </c>
      <c r="F5" s="258"/>
      <c r="G5" s="264" t="s">
        <v>206</v>
      </c>
      <c r="H5" s="180" t="s">
        <v>209</v>
      </c>
      <c r="I5" s="180" t="s">
        <v>210</v>
      </c>
    </row>
    <row r="6" spans="1:9" x14ac:dyDescent="0.25">
      <c r="B6" s="63" t="s">
        <v>3</v>
      </c>
      <c r="C6" s="274">
        <f>'09_Trading Comps'!F30</f>
        <v>24.810314303525221</v>
      </c>
      <c r="D6" s="274">
        <f>'09_Trading Comps'!F31</f>
        <v>26.962410400138562</v>
      </c>
      <c r="E6" s="274">
        <f>'09_Trading Comps'!F32</f>
        <v>31.028519137545082</v>
      </c>
      <c r="F6" s="56"/>
      <c r="G6" s="63" t="s">
        <v>3</v>
      </c>
      <c r="H6" s="265">
        <f>C6</f>
        <v>24.810314303525221</v>
      </c>
      <c r="I6" s="266">
        <f>E6-C6</f>
        <v>6.2182048340198612</v>
      </c>
    </row>
    <row r="7" spans="1:9" x14ac:dyDescent="0.25">
      <c r="B7" s="63" t="s">
        <v>5</v>
      </c>
      <c r="C7" s="274">
        <f>'11_SOTP'!C19</f>
        <v>37.016114329739132</v>
      </c>
      <c r="D7" s="274">
        <f>'11_SOTP'!C20</f>
        <v>41.129015921932364</v>
      </c>
      <c r="E7" s="274">
        <f>'11_SOTP'!C21</f>
        <v>45.241917514125603</v>
      </c>
      <c r="F7" s="56"/>
      <c r="G7" s="63" t="s">
        <v>5</v>
      </c>
      <c r="H7" s="265">
        <f>C7</f>
        <v>37.016114329739132</v>
      </c>
      <c r="I7" s="266">
        <f>E7-C7</f>
        <v>8.2258031843864714</v>
      </c>
    </row>
    <row r="8" spans="1:9" x14ac:dyDescent="0.25">
      <c r="B8" s="63" t="s">
        <v>207</v>
      </c>
      <c r="C8" s="274">
        <f>'10_Precedent Transactions'!F39</f>
        <v>33.369294899738449</v>
      </c>
      <c r="D8" s="274">
        <f>'10_Precedent Transactions'!F40</f>
        <v>46.846218020022256</v>
      </c>
      <c r="E8" s="275"/>
      <c r="F8" s="56"/>
      <c r="G8" s="63" t="s">
        <v>207</v>
      </c>
      <c r="H8" s="265">
        <f>C8</f>
        <v>33.369294899738449</v>
      </c>
      <c r="I8" s="266">
        <f>D8-C8</f>
        <v>13.476923120283807</v>
      </c>
    </row>
    <row r="12" spans="1:9" x14ac:dyDescent="0.25">
      <c r="G12" s="268" t="s">
        <v>211</v>
      </c>
      <c r="H12" s="26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2224-8A0B-4FB3-85D9-66D9B82BCDC8}">
  <dimension ref="B2:H10"/>
  <sheetViews>
    <sheetView showGridLines="0" workbookViewId="0"/>
  </sheetViews>
  <sheetFormatPr defaultRowHeight="15.75" x14ac:dyDescent="0.25"/>
  <cols>
    <col min="1" max="1" width="3.625" customWidth="1"/>
    <col min="2" max="2" width="58.75" customWidth="1"/>
  </cols>
  <sheetData>
    <row r="2" spans="2:8" s="3" customFormat="1" ht="21" x14ac:dyDescent="0.35">
      <c r="B2" s="122" t="s">
        <v>193</v>
      </c>
    </row>
    <row r="5" spans="2:8" ht="82.5" customHeight="1" x14ac:dyDescent="0.25">
      <c r="B5" s="273" t="s">
        <v>212</v>
      </c>
      <c r="C5" s="271"/>
      <c r="D5" s="272"/>
      <c r="E5" s="272"/>
      <c r="F5" s="272"/>
      <c r="G5" s="270"/>
      <c r="H5" s="270"/>
    </row>
    <row r="6" spans="2:8" x14ac:dyDescent="0.25">
      <c r="B6" s="269"/>
    </row>
    <row r="7" spans="2:8" x14ac:dyDescent="0.25">
      <c r="B7" s="270"/>
    </row>
    <row r="8" spans="2:8" x14ac:dyDescent="0.25">
      <c r="B8" s="270"/>
    </row>
    <row r="9" spans="2:8" x14ac:dyDescent="0.25">
      <c r="B9" s="270"/>
    </row>
    <row r="10" spans="2:8" x14ac:dyDescent="0.25">
      <c r="B10" s="2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01_Cover</vt:lpstr>
      <vt:lpstr>03_Historical Financials</vt:lpstr>
      <vt:lpstr>04_Segment Financials</vt:lpstr>
      <vt:lpstr>WACC Germany</vt:lpstr>
      <vt:lpstr>05_Germany DCF</vt:lpstr>
      <vt:lpstr>WACC Europe</vt:lpstr>
      <vt:lpstr>06_Europe DCF</vt:lpstr>
      <vt:lpstr>WACC TSystems</vt:lpstr>
      <vt:lpstr>07_TSystems DCF</vt:lpstr>
      <vt:lpstr>08_TMUS Stake</vt:lpstr>
      <vt:lpstr>09_Trading Comps</vt:lpstr>
      <vt:lpstr>10_Precedent Transactions</vt:lpstr>
      <vt:lpstr>11_SOTP</vt:lpstr>
      <vt:lpstr>12_Football Fields</vt:lpstr>
      <vt:lpstr>13_Sensitivity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2026-06-11T21:49:51Z</dcterms:created>
  <dcterms:modified xsi:type="dcterms:W3CDTF">2026-06-18T13:33:35Z</dcterms:modified>
</cp:coreProperties>
</file>